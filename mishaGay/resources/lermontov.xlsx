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ЭтаКнига"/>
  <xr:revisionPtr revIDLastSave="0" documentId="13_ncr:1_{E82088AC-427E-4A00-8E7C-FFA253993C37}" xr6:coauthVersionLast="47" xr6:coauthVersionMax="47" xr10:uidLastSave="{00000000-0000-0000-0000-000000000000}"/>
  <workbookProtection workbookAlgorithmName="SHA-512" workbookHashValue="aviRPh1ZXfxqOZZpJ15UHq6nKYJ4CW+p8zjLsUVAN27ySc5JmBLmv1i8Q71O6hjw2Y2BA5eGrvTu2+sVdbw96Q==" workbookSaltValue="EHtjOR1SlGPk0K/UCoDzOQ==" workbookSpinCount="100000" lockStructure="1"/>
  <bookViews>
    <workbookView xWindow="-120" yWindow="-120" windowWidth="29040" windowHeight="15840" tabRatio="923" xr2:uid="{00000000-000D-0000-FFFF-FFFF00000000}"/>
  </bookViews>
  <sheets>
    <sheet name="Дог." sheetId="1" r:id="rId1"/>
    <sheet name="Пр №1" sheetId="2" r:id="rId2"/>
    <sheet name="Акт прием" sheetId="3" r:id="rId3"/>
    <sheet name="Акт расч" sheetId="11" r:id="rId4"/>
    <sheet name="Обяз" sheetId="26" r:id="rId5"/>
    <sheet name="Пасп Доп Данные" sheetId="13" r:id="rId6"/>
    <sheet name="Треб1" sheetId="27" r:id="rId7"/>
    <sheet name="Треб2" sheetId="28" r:id="rId8"/>
    <sheet name="Акт возв" sheetId="8" r:id="rId9"/>
    <sheet name="Акт слом" sheetId="9" r:id="rId10"/>
    <sheet name="Счет " sheetId="12" r:id="rId11"/>
    <sheet name="Фактура" sheetId="25" r:id="rId12"/>
    <sheet name="ПКО" sheetId="15" r:id="rId13"/>
    <sheet name="РКО" sheetId="29" r:id="rId14"/>
    <sheet name="Обоснование" sheetId="30" r:id="rId15"/>
    <sheet name="Письма" sheetId="21" r:id="rId16"/>
    <sheet name="В милицию" sheetId="18" r:id="rId17"/>
    <sheet name="Фразы для Ватсапа" sheetId="24" r:id="rId18"/>
  </sheets>
  <externalReferences>
    <externalReference r:id="rId19"/>
  </externalReferences>
  <definedNames>
    <definedName name="_xlnm.Print_Area" localSheetId="2">'Акт прием'!$A$1:$Q$52</definedName>
    <definedName name="_xlnm.Print_Area" localSheetId="3">'Акт расч'!$A$1:$Q$79</definedName>
    <definedName name="_xlnm.Print_Area" localSheetId="0">Дог.!$A$4:$P$143</definedName>
    <definedName name="_xlnm.Print_Area" localSheetId="14">Обоснование!$A$1:$D$42</definedName>
    <definedName name="_xlnm.Print_Area" localSheetId="4">Обяз!$A$1:$L$50</definedName>
    <definedName name="_xlnm.Print_Area" localSheetId="5">'Пасп Доп Данные'!$A$1:$K$24</definedName>
    <definedName name="_xlnm.Print_Area" localSheetId="15">Письма!$A$1:$I$67</definedName>
    <definedName name="_xlnm.Print_Area" localSheetId="12">ПКО!$A$1:$CT$38</definedName>
    <definedName name="_xlnm.Print_Area" localSheetId="1">'Пр №1'!$A$1:$Q$68</definedName>
    <definedName name="_xlnm.Print_Area" localSheetId="13">РКО!$A$1:$DJ$35</definedName>
    <definedName name="_xlnm.Print_Area" localSheetId="10">'Счет '!$A$1:$Q$64</definedName>
    <definedName name="_xlnm.Print_Area" localSheetId="6">Треб1!$A$45:$M$92</definedName>
    <definedName name="_xlnm.Print_Area" localSheetId="11">Фактура!$A$1:$Q$64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23" i="15" l="1"/>
  <c r="N21" i="9"/>
  <c r="F19" i="26"/>
  <c r="A48" i="26" s="1"/>
  <c r="H26" i="26" l="1"/>
  <c r="G25" i="26"/>
  <c r="P10" i="12"/>
  <c r="C21" i="30" l="1"/>
  <c r="C8" i="30"/>
  <c r="D6" i="30"/>
  <c r="C6" i="30"/>
  <c r="C4" i="30"/>
  <c r="C3" i="30"/>
  <c r="C1" i="30"/>
  <c r="N11" i="25"/>
  <c r="L11" i="25"/>
  <c r="A8" i="15"/>
  <c r="B59" i="25"/>
  <c r="A59" i="25"/>
  <c r="B59" i="12"/>
  <c r="A59" i="12"/>
  <c r="B62" i="9"/>
  <c r="A62" i="9"/>
  <c r="B53" i="8"/>
  <c r="A53" i="8"/>
  <c r="B72" i="11"/>
  <c r="A72" i="11"/>
  <c r="B47" i="3"/>
  <c r="A47" i="3"/>
  <c r="CQ11" i="29"/>
  <c r="CT10" i="15"/>
  <c r="AZ15" i="15"/>
  <c r="J44" i="9"/>
  <c r="J43" i="9"/>
  <c r="N10" i="1"/>
  <c r="N3" i="2" s="1"/>
  <c r="A53" i="18"/>
  <c r="BP17" i="15"/>
  <c r="AO19" i="29" s="1"/>
  <c r="BW16" i="15"/>
  <c r="R19" i="29" s="1"/>
  <c r="O5" i="3" l="1"/>
  <c r="P17" i="2"/>
  <c r="J16" i="2"/>
  <c r="E29" i="30"/>
  <c r="B29" i="30" s="1"/>
  <c r="B24" i="30"/>
  <c r="E24" i="30"/>
  <c r="E28" i="30" s="1"/>
  <c r="B28" i="30" s="1"/>
  <c r="J20" i="2"/>
  <c r="CQ15" i="29"/>
  <c r="W2" i="15"/>
  <c r="A8" i="29"/>
  <c r="AV15" i="29"/>
  <c r="AA15" i="29"/>
  <c r="H15" i="29"/>
  <c r="BG32" i="29"/>
  <c r="A32" i="29"/>
  <c r="CP30" i="29"/>
  <c r="BU30" i="29"/>
  <c r="BL30" i="29"/>
  <c r="BG30" i="29"/>
  <c r="AY30" i="29"/>
  <c r="AS30" i="29"/>
  <c r="AJ30" i="29"/>
  <c r="Z30" i="29"/>
  <c r="V30" i="29"/>
  <c r="R30" i="29"/>
  <c r="CT6" i="29"/>
  <c r="A6" i="29"/>
  <c r="N21" i="3"/>
  <c r="P47" i="11" s="1"/>
  <c r="G153" i="28"/>
  <c r="J4" i="28"/>
  <c r="J103" i="28" s="1"/>
  <c r="G149" i="27"/>
  <c r="J4" i="27"/>
  <c r="J48" i="27" s="1"/>
  <c r="J96" i="27" s="1"/>
  <c r="O18" i="3" l="1"/>
  <c r="J17" i="3"/>
  <c r="O5" i="11"/>
  <c r="E26" i="30"/>
  <c r="E25" i="30"/>
  <c r="B25" i="30" s="1"/>
  <c r="J53" i="28"/>
  <c r="L29" i="2"/>
  <c r="C54" i="21"/>
  <c r="A24" i="21"/>
  <c r="G32" i="21" s="1"/>
  <c r="F23" i="21"/>
  <c r="A27" i="21" s="1"/>
  <c r="A32" i="21" s="1"/>
  <c r="E20" i="21"/>
  <c r="O5" i="8" l="1"/>
  <c r="O17" i="11"/>
  <c r="E27" i="30"/>
  <c r="B27" i="30" s="1"/>
  <c r="B26" i="30"/>
  <c r="J24" i="11"/>
  <c r="H19" i="12" s="1"/>
  <c r="J26" i="11"/>
  <c r="J28" i="11"/>
  <c r="J22" i="11"/>
  <c r="H18" i="12" s="1"/>
  <c r="B28" i="11"/>
  <c r="B21" i="12" s="1"/>
  <c r="B26" i="11"/>
  <c r="B20" i="12" s="1"/>
  <c r="B24" i="11"/>
  <c r="B19" i="12" s="1"/>
  <c r="B22" i="11"/>
  <c r="B18" i="12" s="1"/>
  <c r="N26" i="12"/>
  <c r="N25" i="12"/>
  <c r="N24" i="12"/>
  <c r="N23" i="12"/>
  <c r="N22" i="12"/>
  <c r="N21" i="12"/>
  <c r="N20" i="12"/>
  <c r="N19" i="12"/>
  <c r="N18" i="12"/>
  <c r="L26" i="12"/>
  <c r="L25" i="12"/>
  <c r="L24" i="12"/>
  <c r="L23" i="12"/>
  <c r="L22" i="12"/>
  <c r="L21" i="12"/>
  <c r="L20" i="12"/>
  <c r="L19" i="12"/>
  <c r="L18" i="12"/>
  <c r="L30" i="11"/>
  <c r="J22" i="12" s="1"/>
  <c r="L32" i="11"/>
  <c r="J23" i="12" s="1"/>
  <c r="L34" i="11"/>
  <c r="J24" i="12" s="1"/>
  <c r="L36" i="11"/>
  <c r="P36" i="11" s="1"/>
  <c r="P25" i="12" s="1"/>
  <c r="L38" i="11"/>
  <c r="J26" i="12" s="1"/>
  <c r="H26" i="12"/>
  <c r="H25" i="12"/>
  <c r="H24" i="12"/>
  <c r="H23" i="12"/>
  <c r="H22" i="12"/>
  <c r="B26" i="12"/>
  <c r="B25" i="12"/>
  <c r="B24" i="12"/>
  <c r="B23" i="12"/>
  <c r="B22" i="12"/>
  <c r="P45" i="11"/>
  <c r="O18" i="8" l="1"/>
  <c r="O5" i="9"/>
  <c r="J17" i="8"/>
  <c r="J25" i="12"/>
  <c r="P38" i="11"/>
  <c r="P26" i="12" s="1"/>
  <c r="H20" i="12"/>
  <c r="P34" i="11"/>
  <c r="P24" i="12" s="1"/>
  <c r="H21" i="12"/>
  <c r="P32" i="11"/>
  <c r="P23" i="12" s="1"/>
  <c r="P30" i="11"/>
  <c r="P22" i="12" s="1"/>
  <c r="D15" i="26"/>
  <c r="O5" i="12" l="1"/>
  <c r="O13" i="12" s="1"/>
  <c r="O18" i="9"/>
  <c r="N42" i="9" s="1"/>
  <c r="J17" i="9"/>
  <c r="CG36" i="15"/>
  <c r="AK25" i="29" s="1"/>
  <c r="O54" i="28" l="1"/>
  <c r="O104" i="28" s="1"/>
  <c r="O49" i="27"/>
  <c r="O97" i="27" s="1"/>
  <c r="F110" i="28"/>
  <c r="F60" i="28"/>
  <c r="L11" i="28"/>
  <c r="L60" i="28" s="1"/>
  <c r="L110" i="28" s="1"/>
  <c r="F11" i="28"/>
  <c r="B20" i="2"/>
  <c r="D49" i="13"/>
  <c r="C49" i="13"/>
  <c r="E47" i="13" l="1"/>
  <c r="H47" i="13"/>
  <c r="C53" i="13"/>
  <c r="C56" i="13" s="1"/>
  <c r="C59" i="13" s="1"/>
  <c r="C62" i="13" s="1"/>
  <c r="C48" i="13"/>
  <c r="G47" i="13"/>
  <c r="D47" i="13"/>
  <c r="C47" i="13"/>
  <c r="M40" i="13"/>
  <c r="K40" i="13"/>
  <c r="F55" i="18"/>
  <c r="H104" i="18"/>
  <c r="I52" i="18"/>
  <c r="F104" i="18" s="1"/>
  <c r="I50" i="18"/>
  <c r="D50" i="18"/>
  <c r="A57" i="18" s="1"/>
  <c r="G111" i="18" s="1"/>
  <c r="B113" i="18" s="1"/>
  <c r="P27" i="25"/>
  <c r="P28" i="25"/>
  <c r="P29" i="25"/>
  <c r="P30" i="25"/>
  <c r="P31" i="25"/>
  <c r="N27" i="25"/>
  <c r="N28" i="25"/>
  <c r="N29" i="25"/>
  <c r="N30" i="25"/>
  <c r="N31" i="25"/>
  <c r="L27" i="25"/>
  <c r="L28" i="25"/>
  <c r="L29" i="25"/>
  <c r="L30" i="25"/>
  <c r="L31" i="25"/>
  <c r="J27" i="25"/>
  <c r="J28" i="25"/>
  <c r="J29" i="25"/>
  <c r="J30" i="25"/>
  <c r="J31" i="25"/>
  <c r="H27" i="25"/>
  <c r="H28" i="25"/>
  <c r="H29" i="25"/>
  <c r="H30" i="25"/>
  <c r="H31" i="25"/>
  <c r="B27" i="25"/>
  <c r="B28" i="25"/>
  <c r="B29" i="25"/>
  <c r="B30" i="25"/>
  <c r="B31" i="25"/>
  <c r="J22" i="25"/>
  <c r="J24" i="25"/>
  <c r="J26" i="25"/>
  <c r="P22" i="25"/>
  <c r="P23" i="25"/>
  <c r="P24" i="25"/>
  <c r="P25" i="25"/>
  <c r="P26" i="25"/>
  <c r="N18" i="25"/>
  <c r="N19" i="25"/>
  <c r="N20" i="25"/>
  <c r="N21" i="25"/>
  <c r="N22" i="25"/>
  <c r="N23" i="25"/>
  <c r="N24" i="25"/>
  <c r="N25" i="25"/>
  <c r="N26" i="25"/>
  <c r="L18" i="25"/>
  <c r="L19" i="25"/>
  <c r="L20" i="25"/>
  <c r="L21" i="25"/>
  <c r="L22" i="25"/>
  <c r="L23" i="25"/>
  <c r="L24" i="25"/>
  <c r="L25" i="25"/>
  <c r="L26" i="25"/>
  <c r="L17" i="12"/>
  <c r="L17" i="25" s="1"/>
  <c r="B18" i="25"/>
  <c r="B20" i="25"/>
  <c r="B22" i="25"/>
  <c r="B24" i="25"/>
  <c r="B26" i="25"/>
  <c r="H18" i="25"/>
  <c r="H20" i="25"/>
  <c r="H22" i="25"/>
  <c r="H24" i="25"/>
  <c r="H26" i="25"/>
  <c r="F103" i="27" l="1"/>
  <c r="F55" i="27"/>
  <c r="A34" i="2"/>
  <c r="L11" i="27" l="1"/>
  <c r="F11" i="27"/>
  <c r="L55" i="27" l="1"/>
  <c r="L103" i="27" s="1"/>
  <c r="G29" i="8"/>
  <c r="G27" i="8"/>
  <c r="H21" i="25"/>
  <c r="H23" i="25"/>
  <c r="H25" i="25"/>
  <c r="H19" i="25"/>
  <c r="J20" i="11"/>
  <c r="H17" i="12" s="1"/>
  <c r="H17" i="25" s="1"/>
  <c r="B25" i="25"/>
  <c r="B23" i="25"/>
  <c r="B21" i="25"/>
  <c r="B19" i="25"/>
  <c r="G19" i="11" l="1"/>
  <c r="F19" i="11"/>
  <c r="D17" i="26" l="1"/>
  <c r="F15" i="26"/>
  <c r="C15" i="26"/>
  <c r="C16" i="26"/>
  <c r="E14" i="26"/>
  <c r="C14" i="26"/>
  <c r="I47" i="13" l="1"/>
  <c r="A54" i="18"/>
  <c r="B108" i="18" s="1"/>
  <c r="G23" i="8"/>
  <c r="G25" i="8"/>
  <c r="B23" i="8"/>
  <c r="B23" i="9" s="1"/>
  <c r="B37" i="9" s="1"/>
  <c r="B25" i="8"/>
  <c r="B25" i="9" s="1"/>
  <c r="B27" i="8"/>
  <c r="B27" i="9" s="1"/>
  <c r="B29" i="8"/>
  <c r="B29" i="9" s="1"/>
  <c r="N23" i="8"/>
  <c r="N25" i="8"/>
  <c r="N27" i="8"/>
  <c r="N29" i="8"/>
  <c r="N21" i="8"/>
  <c r="L23" i="8"/>
  <c r="L25" i="8"/>
  <c r="L27" i="8"/>
  <c r="L29" i="8"/>
  <c r="K23" i="8"/>
  <c r="K23" i="9" s="1"/>
  <c r="G37" i="9" s="1"/>
  <c r="K25" i="8"/>
  <c r="K27" i="8"/>
  <c r="K29" i="8"/>
  <c r="K21" i="8"/>
  <c r="K21" i="9" s="1"/>
  <c r="N23" i="9"/>
  <c r="N25" i="9"/>
  <c r="N27" i="9"/>
  <c r="N29" i="9"/>
  <c r="B36" i="9"/>
  <c r="B39" i="9"/>
  <c r="G36" i="9"/>
  <c r="G39" i="9"/>
  <c r="N40" i="9"/>
  <c r="G29" i="9"/>
  <c r="G27" i="9"/>
  <c r="G25" i="9"/>
  <c r="G23" i="9"/>
  <c r="G21" i="9"/>
  <c r="P29" i="8" l="1"/>
  <c r="P27" i="8"/>
  <c r="P25" i="8"/>
  <c r="K29" i="9"/>
  <c r="K27" i="9"/>
  <c r="K25" i="9"/>
  <c r="P23" i="8"/>
  <c r="C18" i="26"/>
  <c r="A11" i="26" l="1"/>
  <c r="C10" i="26"/>
  <c r="C9" i="26"/>
  <c r="L2" i="26"/>
  <c r="H2" i="26"/>
  <c r="F2" i="26"/>
  <c r="A2" i="26"/>
  <c r="G21" i="8"/>
  <c r="G62" i="25"/>
  <c r="P62" i="25" s="1"/>
  <c r="C62" i="25"/>
  <c r="L62" i="25" s="1"/>
  <c r="A62" i="25"/>
  <c r="J62" i="25" s="1"/>
  <c r="A58" i="25"/>
  <c r="G11" i="25" s="1"/>
  <c r="K57" i="25"/>
  <c r="B57" i="25"/>
  <c r="K56" i="25"/>
  <c r="B56" i="25"/>
  <c r="B11" i="25" s="1"/>
  <c r="J55" i="25"/>
  <c r="A55" i="25"/>
  <c r="I10" i="25" s="1"/>
  <c r="M53" i="25"/>
  <c r="D53" i="25"/>
  <c r="A52" i="25"/>
  <c r="C51" i="25"/>
  <c r="C50" i="25"/>
  <c r="E49" i="25"/>
  <c r="C49" i="25"/>
  <c r="A11" i="25"/>
  <c r="F10" i="25"/>
  <c r="O6" i="25"/>
  <c r="K6" i="25"/>
  <c r="I6" i="25"/>
  <c r="B6" i="25"/>
  <c r="J60" i="2"/>
  <c r="J59" i="2"/>
  <c r="J57" i="2"/>
  <c r="J56" i="2"/>
  <c r="J54" i="2"/>
  <c r="J53" i="2"/>
  <c r="J52" i="2"/>
  <c r="J50" i="2"/>
  <c r="B50" i="2"/>
  <c r="B51" i="2"/>
  <c r="B48" i="25" s="1"/>
  <c r="L66" i="2"/>
  <c r="L63" i="25" s="1"/>
  <c r="K140" i="1"/>
  <c r="A140" i="1"/>
  <c r="H2" i="28" s="1"/>
  <c r="K67" i="1"/>
  <c r="A67" i="1"/>
  <c r="H2" i="27" s="1"/>
  <c r="J61" i="1"/>
  <c r="C66" i="2" s="1"/>
  <c r="C63" i="25" s="1"/>
  <c r="K14" i="2"/>
  <c r="K15" i="3" s="1"/>
  <c r="C14" i="2"/>
  <c r="C15" i="9" s="1"/>
  <c r="I21" i="1"/>
  <c r="D7" i="30" s="1"/>
  <c r="C9" i="2"/>
  <c r="C10" i="11" s="1"/>
  <c r="M11" i="2"/>
  <c r="M12" i="8" s="1"/>
  <c r="L11" i="2"/>
  <c r="L12" i="3" s="1"/>
  <c r="K11" i="2"/>
  <c r="K12" i="8" s="1"/>
  <c r="G40" i="27" l="1"/>
  <c r="H46" i="27"/>
  <c r="A63" i="27" s="1"/>
  <c r="A19" i="27"/>
  <c r="H94" i="27"/>
  <c r="A111" i="27" s="1"/>
  <c r="G45" i="28"/>
  <c r="G95" i="28" s="1"/>
  <c r="G158" i="28" s="1"/>
  <c r="H51" i="28"/>
  <c r="A69" i="28" s="1"/>
  <c r="H101" i="28"/>
  <c r="A119" i="28" s="1"/>
  <c r="A20" i="28"/>
  <c r="Z33" i="15"/>
  <c r="CK33" i="15" s="1"/>
  <c r="A13" i="26"/>
  <c r="H48" i="13"/>
  <c r="B47" i="25"/>
  <c r="A45" i="13"/>
  <c r="H13" i="2"/>
  <c r="H14" i="9" s="1"/>
  <c r="C15" i="3"/>
  <c r="C15" i="11"/>
  <c r="L51" i="2"/>
  <c r="L48" i="25" s="1"/>
  <c r="M53" i="2"/>
  <c r="B10" i="25"/>
  <c r="N53" i="2"/>
  <c r="B10" i="12"/>
  <c r="C10" i="8"/>
  <c r="C10" i="9"/>
  <c r="C10" i="3"/>
  <c r="O53" i="2"/>
  <c r="C15" i="8"/>
  <c r="K12" i="11"/>
  <c r="M12" i="9"/>
  <c r="K15" i="8"/>
  <c r="K15" i="9"/>
  <c r="K15" i="11"/>
  <c r="M12" i="3"/>
  <c r="K12" i="9"/>
  <c r="L12" i="9"/>
  <c r="K12" i="3"/>
  <c r="L12" i="8"/>
  <c r="L12" i="11"/>
  <c r="M12" i="11"/>
  <c r="P11" i="1"/>
  <c r="L13" i="1" s="1"/>
  <c r="G88" i="27" l="1"/>
  <c r="H14" i="8"/>
  <c r="H14" i="3"/>
  <c r="H14" i="11"/>
  <c r="P50" i="25"/>
  <c r="O44" i="8"/>
  <c r="O63" i="11"/>
  <c r="P50" i="12"/>
  <c r="O38" i="3"/>
  <c r="O50" i="25"/>
  <c r="N44" i="8"/>
  <c r="N63" i="11"/>
  <c r="N38" i="3"/>
  <c r="O50" i="12"/>
  <c r="M38" i="3"/>
  <c r="M50" i="25"/>
  <c r="M44" i="8"/>
  <c r="M63" i="11"/>
  <c r="M50" i="12"/>
  <c r="J45" i="3"/>
  <c r="J70" i="11" s="1"/>
  <c r="J44" i="3"/>
  <c r="J69" i="11" s="1"/>
  <c r="J42" i="3"/>
  <c r="J67" i="11" s="1"/>
  <c r="J41" i="3"/>
  <c r="J66" i="11" s="1"/>
  <c r="J39" i="3"/>
  <c r="J64" i="11" s="1"/>
  <c r="J38" i="3"/>
  <c r="J63" i="11" s="1"/>
  <c r="J37" i="3"/>
  <c r="J62" i="11" s="1"/>
  <c r="J36" i="3"/>
  <c r="J61" i="11" s="1"/>
  <c r="J35" i="3"/>
  <c r="J60" i="11" s="1"/>
  <c r="G154" i="27" l="1"/>
  <c r="J49" i="12"/>
  <c r="J43" i="8" s="1"/>
  <c r="J52" i="9" s="1"/>
  <c r="J49" i="25"/>
  <c r="J51" i="12"/>
  <c r="J45" i="8" s="1"/>
  <c r="J54" i="9" s="1"/>
  <c r="J51" i="25"/>
  <c r="J53" i="12"/>
  <c r="J47" i="8" s="1"/>
  <c r="J56" i="9" s="1"/>
  <c r="J53" i="25"/>
  <c r="J54" i="12"/>
  <c r="J48" i="8" s="1"/>
  <c r="J57" i="9" s="1"/>
  <c r="J54" i="25"/>
  <c r="J48" i="12"/>
  <c r="J42" i="8" s="1"/>
  <c r="J51" i="9" s="1"/>
  <c r="J48" i="25"/>
  <c r="J56" i="12"/>
  <c r="J50" i="8" s="1"/>
  <c r="J59" i="9" s="1"/>
  <c r="J56" i="25"/>
  <c r="J50" i="12"/>
  <c r="J44" i="8" s="1"/>
  <c r="J53" i="9" s="1"/>
  <c r="J50" i="25"/>
  <c r="J47" i="12"/>
  <c r="J41" i="8" s="1"/>
  <c r="J50" i="9" s="1"/>
  <c r="J47" i="25"/>
  <c r="J57" i="12"/>
  <c r="J51" i="8" s="1"/>
  <c r="J60" i="9" s="1"/>
  <c r="J57" i="25"/>
  <c r="J25" i="3" l="1"/>
  <c r="J24" i="3"/>
  <c r="J23" i="3"/>
  <c r="J22" i="3"/>
  <c r="B25" i="3"/>
  <c r="B24" i="3"/>
  <c r="B23" i="3"/>
  <c r="B22" i="3"/>
  <c r="P30" i="2" l="1"/>
  <c r="P42" i="11" l="1"/>
  <c r="M51" i="11" s="1"/>
  <c r="BU21" i="15"/>
  <c r="CC15" i="29" s="1"/>
  <c r="C13" i="21"/>
  <c r="J29" i="29" l="1"/>
  <c r="I2" i="26" l="1"/>
  <c r="K10" i="1"/>
  <c r="H13" i="28" s="1"/>
  <c r="H62" i="28" s="1"/>
  <c r="H112" i="28" s="1"/>
  <c r="D65" i="2"/>
  <c r="D62" i="25" s="1"/>
  <c r="M62" i="25" s="1"/>
  <c r="L5" i="2"/>
  <c r="L6" i="25" s="1"/>
  <c r="N13" i="1"/>
  <c r="J13" i="1"/>
  <c r="G2" i="26" s="1"/>
  <c r="K2" i="26" l="1"/>
  <c r="L10" i="1"/>
  <c r="H13" i="27"/>
  <c r="H57" i="27" s="1"/>
  <c r="F65" i="2"/>
  <c r="F62" i="25" s="1"/>
  <c r="O62" i="25" s="1"/>
  <c r="N5" i="2"/>
  <c r="N6" i="25" s="1"/>
  <c r="B65" i="2"/>
  <c r="B62" i="25" s="1"/>
  <c r="K62" i="25" s="1"/>
  <c r="J5" i="2"/>
  <c r="J6" i="25" s="1"/>
  <c r="H20" i="11"/>
  <c r="J21" i="9" l="1"/>
  <c r="J21" i="8"/>
  <c r="G51" i="18"/>
  <c r="E105" i="18" s="1"/>
  <c r="H105" i="27"/>
  <c r="H21" i="9"/>
  <c r="F20" i="11"/>
  <c r="L20" i="2"/>
  <c r="H21" i="8"/>
  <c r="J22" i="2"/>
  <c r="L22" i="2" s="1"/>
  <c r="J28" i="2"/>
  <c r="L28" i="2" s="1"/>
  <c r="J26" i="2"/>
  <c r="L26" i="2" s="1"/>
  <c r="J24" i="2"/>
  <c r="L24" i="2" s="1"/>
  <c r="K31" i="2" l="1"/>
  <c r="F4" i="21" l="1"/>
  <c r="A4" i="21"/>
  <c r="F4" i="1" l="1"/>
  <c r="D4" i="1"/>
  <c r="M10" i="1" s="1"/>
  <c r="M3" i="2" s="1"/>
  <c r="H37" i="2"/>
  <c r="J13" i="28" l="1"/>
  <c r="J62" i="28" s="1"/>
  <c r="J112" i="28" s="1"/>
  <c r="J13" i="27"/>
  <c r="J16" i="27" s="1"/>
  <c r="H4" i="1"/>
  <c r="J57" i="27" l="1"/>
  <c r="J105" i="27" s="1"/>
  <c r="J60" i="27"/>
  <c r="J108" i="27" s="1"/>
  <c r="A21" i="1"/>
  <c r="C7" i="30" s="1"/>
  <c r="C12" i="26" l="1"/>
  <c r="G48" i="13"/>
  <c r="J21" i="3"/>
  <c r="I12" i="2" l="1"/>
  <c r="A13" i="2"/>
  <c r="I13" i="3" l="1"/>
  <c r="I13" i="11" s="1"/>
  <c r="I13" i="8" s="1"/>
  <c r="I13" i="9" s="1"/>
  <c r="J55" i="2"/>
  <c r="J52" i="25" s="1"/>
  <c r="M64" i="2" l="1"/>
  <c r="M49" i="3" s="1"/>
  <c r="M74" i="11" s="1"/>
  <c r="D49" i="3"/>
  <c r="D74" i="11" s="1"/>
  <c r="D61" i="12" l="1"/>
  <c r="D55" i="8" s="1"/>
  <c r="D64" i="9" s="1"/>
  <c r="D61" i="25"/>
  <c r="M61" i="12"/>
  <c r="M55" i="8" s="1"/>
  <c r="M64" i="9" s="1"/>
  <c r="M61" i="25"/>
  <c r="G6" i="2" l="1"/>
  <c r="G7" i="3" s="1"/>
  <c r="G7" i="11" s="1"/>
  <c r="G7" i="12" l="1"/>
  <c r="G7" i="8" s="1"/>
  <c r="G7" i="9" s="1"/>
  <c r="G7" i="25"/>
  <c r="I23" i="15"/>
  <c r="BP2" i="15"/>
  <c r="BP1" i="15"/>
  <c r="BX14" i="15" l="1"/>
  <c r="H17" i="29"/>
  <c r="A9" i="2"/>
  <c r="A10" i="3" s="1"/>
  <c r="A10" i="11" s="1"/>
  <c r="A10" i="9" s="1"/>
  <c r="A6" i="2"/>
  <c r="A63" i="2" s="1"/>
  <c r="BR23" i="29" s="1"/>
  <c r="D48" i="3"/>
  <c r="D73" i="11" s="1"/>
  <c r="D60" i="12" l="1"/>
  <c r="D63" i="9" s="1"/>
  <c r="D60" i="25"/>
  <c r="A7" i="3"/>
  <c r="A7" i="11" s="1"/>
  <c r="A75" i="11" s="1"/>
  <c r="D54" i="8" l="1"/>
  <c r="A7" i="12"/>
  <c r="A7" i="25"/>
  <c r="A7" i="8"/>
  <c r="A7" i="9" s="1"/>
  <c r="A11" i="12"/>
  <c r="E10" i="12"/>
  <c r="B6" i="12"/>
  <c r="C12" i="2" l="1"/>
  <c r="C13" i="3" l="1"/>
  <c r="C13" i="11" s="1"/>
  <c r="C13" i="8" s="1"/>
  <c r="C13" i="9" s="1"/>
  <c r="L54" i="2"/>
  <c r="L51" i="25" s="1"/>
  <c r="A14" i="3"/>
  <c r="A14" i="11" s="1"/>
  <c r="A14" i="8" s="1"/>
  <c r="A14" i="9" s="1"/>
  <c r="N20" i="11"/>
  <c r="N17" i="12" s="1"/>
  <c r="N17" i="25" s="1"/>
  <c r="N12" i="11"/>
  <c r="J12" i="11"/>
  <c r="I12" i="11"/>
  <c r="G12" i="11"/>
  <c r="F12" i="11"/>
  <c r="E12" i="11"/>
  <c r="A12" i="11"/>
  <c r="A11" i="11"/>
  <c r="C15" i="25" s="1"/>
  <c r="B6" i="11"/>
  <c r="C15" i="12" l="1"/>
  <c r="A11" i="8"/>
  <c r="N12" i="9" l="1"/>
  <c r="J12" i="9"/>
  <c r="I12" i="9"/>
  <c r="G12" i="9"/>
  <c r="F12" i="9"/>
  <c r="E12" i="9"/>
  <c r="A12" i="9"/>
  <c r="A11" i="9"/>
  <c r="B6" i="9"/>
  <c r="N12" i="8"/>
  <c r="I12" i="8"/>
  <c r="F12" i="8"/>
  <c r="E12" i="8"/>
  <c r="A12" i="8"/>
  <c r="B6" i="8"/>
  <c r="N26" i="3" l="1"/>
  <c r="N12" i="3"/>
  <c r="J12" i="3"/>
  <c r="I12" i="3"/>
  <c r="G12" i="3"/>
  <c r="F12" i="3"/>
  <c r="E12" i="3"/>
  <c r="A12" i="3"/>
  <c r="A11" i="3"/>
  <c r="K57" i="12"/>
  <c r="K56" i="12"/>
  <c r="J55" i="12"/>
  <c r="M53" i="12"/>
  <c r="L48" i="12"/>
  <c r="C63" i="12"/>
  <c r="A48" i="3"/>
  <c r="A73" i="11" s="1"/>
  <c r="A58" i="12"/>
  <c r="G11" i="12" s="1"/>
  <c r="B57" i="12"/>
  <c r="Q10" i="12" s="1"/>
  <c r="B56" i="12"/>
  <c r="B11" i="12" s="1"/>
  <c r="A55" i="12"/>
  <c r="H10" i="12" s="1"/>
  <c r="D53" i="12"/>
  <c r="C50" i="12"/>
  <c r="E49" i="12"/>
  <c r="C49" i="12"/>
  <c r="B48" i="12"/>
  <c r="N11" i="2"/>
  <c r="J11" i="2"/>
  <c r="I11" i="2"/>
  <c r="G11" i="2"/>
  <c r="N52" i="2" s="1"/>
  <c r="F11" i="2"/>
  <c r="M52" i="2" s="1"/>
  <c r="E11" i="2"/>
  <c r="L52" i="2" s="1"/>
  <c r="L49" i="25" s="1"/>
  <c r="A11" i="2"/>
  <c r="A10" i="2"/>
  <c r="B47" i="13" s="1"/>
  <c r="A7" i="2"/>
  <c r="A8" i="2"/>
  <c r="J52" i="12"/>
  <c r="L49" i="12" l="1"/>
  <c r="N49" i="12"/>
  <c r="N49" i="25"/>
  <c r="A9" i="12"/>
  <c r="A9" i="25"/>
  <c r="A8" i="12"/>
  <c r="A8" i="25"/>
  <c r="A60" i="12"/>
  <c r="A54" i="8" s="1"/>
  <c r="A60" i="25"/>
  <c r="L50" i="2"/>
  <c r="L60" i="11" s="1"/>
  <c r="J63" i="2"/>
  <c r="J12" i="8"/>
  <c r="L53" i="2"/>
  <c r="H5" i="21"/>
  <c r="O29" i="3"/>
  <c r="L39" i="3"/>
  <c r="L51" i="12"/>
  <c r="L51" i="3"/>
  <c r="L63" i="12"/>
  <c r="B47" i="12"/>
  <c r="C39" i="3"/>
  <c r="C51" i="12"/>
  <c r="A40" i="3"/>
  <c r="A52" i="12"/>
  <c r="M42" i="2"/>
  <c r="N62" i="11"/>
  <c r="N43" i="8"/>
  <c r="N52" i="9"/>
  <c r="A9" i="11"/>
  <c r="A9" i="9"/>
  <c r="A9" i="8"/>
  <c r="C64" i="11"/>
  <c r="C54" i="9"/>
  <c r="C45" i="8"/>
  <c r="L78" i="11"/>
  <c r="L57" i="8"/>
  <c r="L66" i="9"/>
  <c r="A65" i="11"/>
  <c r="A46" i="8"/>
  <c r="A55" i="9"/>
  <c r="D66" i="11"/>
  <c r="D47" i="8"/>
  <c r="D56" i="9"/>
  <c r="J65" i="11"/>
  <c r="J46" i="8"/>
  <c r="J55" i="9"/>
  <c r="D41" i="3"/>
  <c r="J40" i="3"/>
  <c r="A8" i="11"/>
  <c r="A8" i="9"/>
  <c r="A8" i="8"/>
  <c r="B60" i="11"/>
  <c r="B50" i="9"/>
  <c r="B41" i="8"/>
  <c r="A68" i="11"/>
  <c r="A58" i="9"/>
  <c r="A49" i="8"/>
  <c r="C78" i="11"/>
  <c r="C66" i="9"/>
  <c r="C57" i="8"/>
  <c r="M66" i="11"/>
  <c r="M47" i="8"/>
  <c r="M56" i="9"/>
  <c r="A9" i="3"/>
  <c r="B35" i="3"/>
  <c r="A43" i="3"/>
  <c r="C51" i="3"/>
  <c r="M41" i="3"/>
  <c r="C63" i="11"/>
  <c r="C53" i="9"/>
  <c r="C44" i="8"/>
  <c r="L64" i="11"/>
  <c r="L54" i="9"/>
  <c r="L45" i="8"/>
  <c r="B61" i="11"/>
  <c r="B51" i="9"/>
  <c r="B42" i="8"/>
  <c r="B69" i="11"/>
  <c r="B59" i="9"/>
  <c r="B50" i="8"/>
  <c r="J68" i="11"/>
  <c r="J49" i="8"/>
  <c r="J58" i="9"/>
  <c r="A8" i="3"/>
  <c r="B36" i="3"/>
  <c r="B44" i="3"/>
  <c r="J43" i="3"/>
  <c r="J71" i="11"/>
  <c r="C38" i="3"/>
  <c r="N37" i="3"/>
  <c r="C62" i="11"/>
  <c r="C43" i="8"/>
  <c r="C52" i="9"/>
  <c r="B70" i="11"/>
  <c r="B51" i="8"/>
  <c r="B60" i="9"/>
  <c r="L61" i="11"/>
  <c r="L51" i="9"/>
  <c r="L42" i="8"/>
  <c r="K69" i="11"/>
  <c r="K59" i="9"/>
  <c r="K50" i="8"/>
  <c r="C37" i="3"/>
  <c r="B45" i="3"/>
  <c r="L36" i="3"/>
  <c r="K44" i="3"/>
  <c r="J46" i="3"/>
  <c r="E62" i="11"/>
  <c r="E43" i="8"/>
  <c r="E52" i="9"/>
  <c r="A71" i="11"/>
  <c r="A52" i="8"/>
  <c r="A61" i="9"/>
  <c r="L62" i="11"/>
  <c r="L43" i="8"/>
  <c r="L52" i="9"/>
  <c r="K70" i="11"/>
  <c r="K51" i="8"/>
  <c r="K60" i="9"/>
  <c r="E37" i="3"/>
  <c r="A46" i="3"/>
  <c r="L37" i="3"/>
  <c r="K45" i="3"/>
  <c r="L41" i="8" l="1"/>
  <c r="L35" i="3"/>
  <c r="L50" i="9"/>
  <c r="L47" i="25"/>
  <c r="K45" i="13"/>
  <c r="J58" i="12"/>
  <c r="J52" i="8" s="1"/>
  <c r="J61" i="9" s="1"/>
  <c r="J58" i="25"/>
  <c r="L50" i="12"/>
  <c r="L38" i="3"/>
  <c r="L50" i="25"/>
  <c r="L44" i="8"/>
  <c r="L63" i="11"/>
  <c r="A63" i="9"/>
  <c r="L53" i="9"/>
  <c r="L47" i="12"/>
  <c r="J54" i="8"/>
  <c r="J60" i="25"/>
  <c r="J63" i="9"/>
  <c r="J60" i="12"/>
  <c r="J48" i="3"/>
  <c r="J73" i="11"/>
  <c r="B21" i="8" l="1"/>
  <c r="B21" i="9" s="1"/>
  <c r="B35" i="9" s="1"/>
  <c r="A4" i="1"/>
  <c r="A62" i="12"/>
  <c r="J62" i="12" s="1"/>
  <c r="A56" i="8"/>
  <c r="J56" i="8" s="1"/>
  <c r="A50" i="3"/>
  <c r="J50" i="3" s="1"/>
  <c r="A77" i="11"/>
  <c r="J77" i="11" s="1"/>
  <c r="J65" i="2"/>
  <c r="A65" i="9"/>
  <c r="J65" i="9" s="1"/>
  <c r="A26" i="15"/>
  <c r="BP18" i="15" s="1"/>
  <c r="BY19" i="29" s="1"/>
  <c r="B20" i="11"/>
  <c r="B17" i="12" s="1"/>
  <c r="B17" i="25" s="1"/>
  <c r="K6" i="12"/>
  <c r="B21" i="3"/>
  <c r="O6" i="12"/>
  <c r="I6" i="12"/>
  <c r="N5" i="25"/>
  <c r="AU15" i="15" s="1"/>
  <c r="CJ11" i="29" s="1"/>
  <c r="CP10" i="15" l="1"/>
  <c r="N13" i="25"/>
  <c r="F62" i="12"/>
  <c r="O62" i="12" s="1"/>
  <c r="B62" i="12"/>
  <c r="K62" i="12" s="1"/>
  <c r="N6" i="12"/>
  <c r="J6" i="12"/>
  <c r="F56" i="8"/>
  <c r="O56" i="8" s="1"/>
  <c r="O65" i="2"/>
  <c r="F77" i="11"/>
  <c r="O77" i="11" s="1"/>
  <c r="G62" i="12"/>
  <c r="P62" i="12" s="1"/>
  <c r="G77" i="11"/>
  <c r="P77" i="11" s="1"/>
  <c r="G56" i="8"/>
  <c r="P56" i="8" s="1"/>
  <c r="G65" i="9"/>
  <c r="P65" i="9" s="1"/>
  <c r="P65" i="2"/>
  <c r="G50" i="3"/>
  <c r="P50" i="3" s="1"/>
  <c r="L65" i="2"/>
  <c r="C62" i="12"/>
  <c r="L62" i="12" s="1"/>
  <c r="C50" i="3"/>
  <c r="L50" i="3" s="1"/>
  <c r="C77" i="11"/>
  <c r="L77" i="11" s="1"/>
  <c r="C65" i="9"/>
  <c r="L65" i="9" s="1"/>
  <c r="C56" i="8"/>
  <c r="L56" i="8" s="1"/>
  <c r="F50" i="3"/>
  <c r="O50" i="3" s="1"/>
  <c r="F65" i="9"/>
  <c r="O65" i="9" s="1"/>
  <c r="N5" i="11"/>
  <c r="N5" i="12"/>
  <c r="K6" i="3"/>
  <c r="K6" i="11"/>
  <c r="K6" i="9"/>
  <c r="K6" i="8"/>
  <c r="I6" i="11"/>
  <c r="I6" i="8"/>
  <c r="I6" i="9"/>
  <c r="O6" i="11"/>
  <c r="O6" i="9"/>
  <c r="O6" i="8"/>
  <c r="B77" i="11"/>
  <c r="K77" i="11" s="1"/>
  <c r="B65" i="9"/>
  <c r="K65" i="9" s="1"/>
  <c r="B56" i="8"/>
  <c r="K56" i="8" s="1"/>
  <c r="N6" i="11"/>
  <c r="N6" i="9"/>
  <c r="CG12" i="15" s="1"/>
  <c r="CE29" i="15" s="1"/>
  <c r="N6" i="8"/>
  <c r="J6" i="11"/>
  <c r="J6" i="8"/>
  <c r="J6" i="9"/>
  <c r="BS12" i="15" s="1"/>
  <c r="BQ29" i="15" s="1"/>
  <c r="N5" i="8"/>
  <c r="N18" i="8" s="1"/>
  <c r="N5" i="9"/>
  <c r="K65" i="2"/>
  <c r="B50" i="3"/>
  <c r="K50" i="3" s="1"/>
  <c r="I16" i="2"/>
  <c r="O17" i="2" s="1"/>
  <c r="N6" i="3"/>
  <c r="O6" i="3"/>
  <c r="I6" i="3"/>
  <c r="J6" i="3"/>
  <c r="N5" i="3"/>
  <c r="I17" i="3" s="1"/>
  <c r="N17" i="11" l="1"/>
  <c r="N13" i="12"/>
  <c r="N18" i="9"/>
  <c r="M42" i="9" s="1"/>
  <c r="I17" i="9"/>
  <c r="I17" i="8"/>
  <c r="N18" i="3"/>
  <c r="I13" i="28"/>
  <c r="I62" i="28" s="1"/>
  <c r="I112" i="28" s="1"/>
  <c r="I13" i="27" l="1"/>
  <c r="I57" i="27" s="1"/>
  <c r="L3" i="2"/>
  <c r="M5" i="25" s="1"/>
  <c r="AQ15" i="15" s="1"/>
  <c r="CD11" i="29" s="1"/>
  <c r="AC29" i="29" s="1"/>
  <c r="J10" i="1"/>
  <c r="G13" i="28" s="1"/>
  <c r="G62" i="28" s="1"/>
  <c r="G112" i="28" s="1"/>
  <c r="CL10" i="15" l="1"/>
  <c r="M13" i="25"/>
  <c r="G13" i="27"/>
  <c r="G57" i="27" s="1"/>
  <c r="I105" i="27"/>
  <c r="M5" i="12"/>
  <c r="M13" i="12" s="1"/>
  <c r="M5" i="3"/>
  <c r="H17" i="3" s="1"/>
  <c r="H16" i="2"/>
  <c r="N17" i="2" s="1"/>
  <c r="M5" i="9"/>
  <c r="M5" i="8"/>
  <c r="H17" i="8" s="1"/>
  <c r="M5" i="11"/>
  <c r="M17" i="11" s="1"/>
  <c r="J3" i="2"/>
  <c r="K5" i="25" s="1"/>
  <c r="K13" i="25" l="1"/>
  <c r="AJ15" i="15"/>
  <c r="BU11" i="29" s="1"/>
  <c r="G105" i="27"/>
  <c r="M18" i="3"/>
  <c r="M18" i="9"/>
  <c r="L42" i="9" s="1"/>
  <c r="H17" i="9"/>
  <c r="M18" i="8"/>
  <c r="K5" i="8"/>
  <c r="K18" i="8" s="1"/>
  <c r="K5" i="3"/>
  <c r="F17" i="3" s="1"/>
  <c r="K5" i="11"/>
  <c r="K5" i="9"/>
  <c r="K5" i="12"/>
  <c r="K13" i="12" s="1"/>
  <c r="F16" i="2"/>
  <c r="L17" i="2" s="1"/>
  <c r="CG10" i="15" l="1"/>
  <c r="C29" i="29"/>
  <c r="K17" i="11"/>
  <c r="F17" i="8"/>
  <c r="K18" i="3"/>
  <c r="K18" i="9"/>
  <c r="J42" i="9" s="1"/>
  <c r="F17" i="9"/>
  <c r="A21" i="3"/>
  <c r="B6" i="3" l="1"/>
  <c r="I3" i="2"/>
  <c r="M65" i="2" l="1"/>
  <c r="D77" i="11"/>
  <c r="M77" i="11" s="1"/>
  <c r="D62" i="12"/>
  <c r="M62" i="12" s="1"/>
  <c r="D56" i="8"/>
  <c r="M56" i="8" s="1"/>
  <c r="D50" i="3"/>
  <c r="M50" i="3" s="1"/>
  <c r="D65" i="9"/>
  <c r="M65" i="9" s="1"/>
  <c r="L6" i="9"/>
  <c r="BV12" i="15" s="1"/>
  <c r="BT29" i="15" s="1"/>
  <c r="L6" i="3"/>
  <c r="L6" i="11"/>
  <c r="L6" i="8"/>
  <c r="L6" i="12"/>
  <c r="K3" i="2"/>
  <c r="L5" i="25" s="1"/>
  <c r="L13" i="25" l="1"/>
  <c r="AN15" i="15"/>
  <c r="BZ11" i="29" s="1"/>
  <c r="L5" i="11"/>
  <c r="L5" i="12"/>
  <c r="L13" i="12" s="1"/>
  <c r="G16" i="2"/>
  <c r="M17" i="2" s="1"/>
  <c r="L5" i="8"/>
  <c r="L5" i="3"/>
  <c r="L5" i="9"/>
  <c r="J21" i="2"/>
  <c r="D5" i="1" s="1"/>
  <c r="N44" i="11" l="1"/>
  <c r="K22" i="26"/>
  <c r="M41" i="11"/>
  <c r="F20" i="28"/>
  <c r="F19" i="27"/>
  <c r="C22" i="27" s="1"/>
  <c r="C11" i="30"/>
  <c r="H21" i="11"/>
  <c r="CJ10" i="15"/>
  <c r="F21" i="11"/>
  <c r="C9" i="30" s="1"/>
  <c r="C31" i="21"/>
  <c r="C35" i="21" s="1"/>
  <c r="J22" i="8"/>
  <c r="J22" i="9"/>
  <c r="L13" i="28"/>
  <c r="L62" i="28" s="1"/>
  <c r="L112" i="28" s="1"/>
  <c r="C51" i="18"/>
  <c r="A105" i="18" s="1"/>
  <c r="N42" i="13"/>
  <c r="L13" i="27"/>
  <c r="L57" i="27" s="1"/>
  <c r="L105" i="27" s="1"/>
  <c r="L21" i="2"/>
  <c r="J23" i="2"/>
  <c r="H22" i="9"/>
  <c r="J29" i="2"/>
  <c r="J25" i="2"/>
  <c r="J27" i="2"/>
  <c r="BB15" i="15"/>
  <c r="CT11" i="29" s="1"/>
  <c r="G17" i="9"/>
  <c r="L18" i="9"/>
  <c r="K42" i="9" s="1"/>
  <c r="G17" i="3"/>
  <c r="L18" i="3"/>
  <c r="G17" i="8"/>
  <c r="L18" i="8"/>
  <c r="L17" i="11"/>
  <c r="L20" i="11" l="1"/>
  <c r="M31" i="2"/>
  <c r="L16" i="27" s="1"/>
  <c r="L60" i="27" s="1"/>
  <c r="L108" i="27" s="1"/>
  <c r="L23" i="2"/>
  <c r="M42" i="11"/>
  <c r="N46" i="11" s="1"/>
  <c r="F69" i="28"/>
  <c r="C75" i="28" s="1"/>
  <c r="C45" i="28"/>
  <c r="C40" i="27"/>
  <c r="F63" i="27"/>
  <c r="C68" i="27" s="1"/>
  <c r="L21" i="9"/>
  <c r="P21" i="9" s="1"/>
  <c r="P31" i="9" s="1"/>
  <c r="H32" i="9" s="1"/>
  <c r="H22" i="8"/>
  <c r="L27" i="2"/>
  <c r="L25" i="2"/>
  <c r="F5" i="1"/>
  <c r="A17" i="28" l="1"/>
  <c r="A66" i="28" s="1"/>
  <c r="A116" i="28" s="1"/>
  <c r="F119" i="28"/>
  <c r="C158" i="28" s="1"/>
  <c r="C95" i="28"/>
  <c r="C88" i="27"/>
  <c r="F111" i="27"/>
  <c r="C154" i="27" s="1"/>
  <c r="J17" i="12"/>
  <c r="J17" i="25" s="1"/>
  <c r="J47" i="13"/>
  <c r="L22" i="11"/>
  <c r="P22" i="11" s="1"/>
  <c r="P18" i="12" s="1"/>
  <c r="P18" i="25" s="1"/>
  <c r="L24" i="11"/>
  <c r="P20" i="11"/>
  <c r="P40" i="11" s="1"/>
  <c r="C23" i="28" l="1"/>
  <c r="J19" i="12"/>
  <c r="P24" i="11"/>
  <c r="P19" i="12" s="1"/>
  <c r="P19" i="25" s="1"/>
  <c r="J19" i="25"/>
  <c r="J18" i="12"/>
  <c r="J18" i="25" s="1"/>
  <c r="P17" i="12"/>
  <c r="L28" i="11"/>
  <c r="P28" i="11" s="1"/>
  <c r="P21" i="12" s="1"/>
  <c r="P21" i="25" s="1"/>
  <c r="L26" i="11"/>
  <c r="P26" i="11" s="1"/>
  <c r="P20" i="12" s="1"/>
  <c r="P20" i="25" s="1"/>
  <c r="P41" i="11" l="1"/>
  <c r="J23" i="25"/>
  <c r="J20" i="12"/>
  <c r="J20" i="25" s="1"/>
  <c r="J25" i="25"/>
  <c r="J21" i="12"/>
  <c r="J21" i="25" s="1"/>
  <c r="P32" i="12"/>
  <c r="P39" i="12" s="1"/>
  <c r="P17" i="25"/>
  <c r="P32" i="25" s="1"/>
  <c r="P39" i="25" s="1"/>
  <c r="AM21" i="15"/>
  <c r="C41" i="12"/>
  <c r="C41" i="25"/>
  <c r="P48" i="11" l="1"/>
  <c r="L21" i="8"/>
  <c r="P21" i="8" s="1"/>
  <c r="P31" i="8" s="1"/>
  <c r="P49" i="11" l="1"/>
  <c r="J21" i="26" s="1"/>
  <c r="H32" i="8"/>
  <c r="A22" i="26"/>
  <c r="I36" i="21" l="1"/>
  <c r="D11" i="30"/>
  <c r="J23" i="26"/>
  <c r="J52" i="11"/>
  <c r="C113" i="27"/>
  <c r="C121" i="28"/>
  <c r="D20" i="27"/>
  <c r="D21" i="28"/>
  <c r="F56" i="18"/>
  <c r="A58" i="18" s="1"/>
  <c r="E66" i="27"/>
  <c r="K47" i="13"/>
  <c r="E73" i="28"/>
  <c r="A37" i="21"/>
  <c r="G20" i="29" l="1"/>
  <c r="I27" i="29" s="1"/>
  <c r="F27" i="15"/>
  <c r="AM19" i="15"/>
</calcChain>
</file>

<file path=xl/sharedStrings.xml><?xml version="1.0" encoding="utf-8"?>
<sst xmlns="http://schemas.openxmlformats.org/spreadsheetml/2006/main" count="1278" uniqueCount="802">
  <si>
    <t>1. ПРЕДМЕТ ДОГОВОРА</t>
  </si>
  <si>
    <t>3. АРЕНДНАЯ ПЛАТА, ДЕНЕЖНЫЙ ЗАЛОГ</t>
  </si>
  <si>
    <t>4. СРОКИ ИСПОЛНЕНИЯ ОБЯЗАТЕЛЬСТВ</t>
  </si>
  <si>
    <t>5. ОТВЕТСТВЕННОСТЬ СТОРОН</t>
  </si>
  <si>
    <t>6. ПОРЯДОК РАЗРЕШЕНИЯ СПОРОВ</t>
  </si>
  <si>
    <t>7. ПРОЧИЕ УСЛОВИЯ</t>
  </si>
  <si>
    <t>8. РЕКВИЗИТЫ СТОРОН</t>
  </si>
  <si>
    <t>Банковские реквизиты:</t>
  </si>
  <si>
    <t>УГНС 003 Свердловского района</t>
  </si>
  <si>
    <t>БИК:</t>
  </si>
  <si>
    <t>Ф.И.О.:</t>
  </si>
  <si>
    <t xml:space="preserve">г. Бишкек </t>
  </si>
  <si>
    <t>№</t>
  </si>
  <si>
    <t>Дата и время выдачи</t>
  </si>
  <si>
    <t>Итого:</t>
  </si>
  <si>
    <t>АКТ ПРИЕМА-ПЕРЕДАЧИ ИМУЩЕСТВА В ПРОКАТ</t>
  </si>
  <si>
    <t xml:space="preserve"> Арендодатель передал Арендатору следующее Имущество:</t>
  </si>
  <si>
    <t xml:space="preserve"> № </t>
  </si>
  <si>
    <t xml:space="preserve">Стоимость оборудования </t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</si>
  <si>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следить за целостностью и сохранностью полученного в аренду Имущества;</t>
    </r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</si>
  <si>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самостоятельно не вскрывать и не ремонтировать переданное Имущество;</t>
    </r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</si>
  <si>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соблюдать технику безопасности при использовании Имущества;</t>
    </r>
  </si>
  <si>
    <r>
      <t xml:space="preserve">      </t>
    </r>
    <r>
      <rPr>
        <sz val="16"/>
        <color theme="0"/>
        <rFont val="Calibri"/>
        <family val="2"/>
        <charset val="204"/>
        <scheme val="minor"/>
      </rPr>
      <t xml:space="preserve">,              </t>
    </r>
    <r>
      <rPr>
        <sz val="16"/>
        <color theme="1"/>
        <rFont val="Calibri"/>
        <family val="2"/>
        <scheme val="minor"/>
      </rPr>
      <t>- не сдавать в субаренду Имущество, предоставленное Арендодателем по настоящему Договору;</t>
    </r>
  </si>
  <si>
    <t>»</t>
  </si>
  <si>
    <t xml:space="preserve"> «</t>
  </si>
  <si>
    <t xml:space="preserve">1. В соответствии с пунктом 1.2. Договора аренды оборудования   </t>
  </si>
  <si>
    <t>Телефон:</t>
  </si>
  <si>
    <t>АКТ ВОЗВРАТА ИМУЩЕСТВА</t>
  </si>
  <si>
    <t>ИНН:</t>
  </si>
  <si>
    <t>Паспорт:</t>
  </si>
  <si>
    <t>Выдан:</t>
  </si>
  <si>
    <t>Адрес:</t>
  </si>
  <si>
    <t>Почтовый индекс:</t>
  </si>
  <si>
    <t>________________________</t>
  </si>
  <si>
    <t xml:space="preserve"> на основании паспорта:</t>
  </si>
  <si>
    <t>выдан</t>
  </si>
  <si>
    <t>по адресу:</t>
  </si>
  <si>
    <t>Факт. место проживания</t>
  </si>
  <si>
    <t>_________________________</t>
  </si>
  <si>
    <t>Адрес объекта:</t>
  </si>
  <si>
    <r>
      <rPr>
        <sz val="16"/>
        <color theme="0"/>
        <rFont val="Calibri"/>
        <family val="2"/>
        <charset val="204"/>
        <scheme val="minor"/>
      </rPr>
      <t xml:space="preserve">,                     </t>
    </r>
    <r>
      <rPr>
        <sz val="16"/>
        <color theme="1"/>
        <rFont val="Calibri"/>
        <family val="2"/>
        <scheme val="minor"/>
      </rPr>
      <t xml:space="preserve">- в случае поломки имущества, известить по номеру </t>
    </r>
  </si>
  <si>
    <t>7.2. Все приложения и Акты к настоящему Договору являются неотъемлемой частью настоящего Договора.</t>
  </si>
  <si>
    <t>5.5. Арендатор несет все расходы по транспортировке Имущества из пункта проката и в пункт проката Арендодателя</t>
  </si>
  <si>
    <t>5.2 При невозврате имущества в указанные сроки или неполной оплате, Арендодатель имеет право обратиться в органы</t>
  </si>
  <si>
    <t>АРЕНДАТОР:</t>
  </si>
  <si>
    <t>АРЕНДОДАТЕЛЬ:</t>
  </si>
  <si>
    <t xml:space="preserve">с другой стороны, а вместе именуемые «Стороны», составили настоящее приложение в соответствии с Договором </t>
  </si>
  <si>
    <t xml:space="preserve">       аренды оборудования </t>
  </si>
  <si>
    <t>Пункт проката :</t>
  </si>
  <si>
    <t>р/c:</t>
  </si>
  <si>
    <t>к Договору аренды оборудования</t>
  </si>
  <si>
    <t>1. Во исполнение Договора аренды оборудования</t>
  </si>
  <si>
    <t>с другой стороны, а вместе именуемые «Стороны», заключили настоящий акт к Договору</t>
  </si>
  <si>
    <t xml:space="preserve">2. Имущество передается в полной исправности. Работоспособность Имущества проверена в присутствии Арендатора
</t>
  </si>
  <si>
    <t>Кол-во</t>
  </si>
  <si>
    <t>Кол-Во</t>
  </si>
  <si>
    <t xml:space="preserve"> Арендатор возвращает Арендодателю следующее Имущество:</t>
  </si>
  <si>
    <t xml:space="preserve">2. Имущество передается в полной исправности. Работоспособность Имущества проверена Арендодателем
</t>
  </si>
  <si>
    <t>2.Следующее имущество возвращается в ненадлежащем состоянии:</t>
  </si>
  <si>
    <t>Наименование оборудования</t>
  </si>
  <si>
    <t>Ед.изм.</t>
  </si>
  <si>
    <t>Цена в сутки</t>
  </si>
  <si>
    <t>Всего:</t>
  </si>
  <si>
    <t>(подпись)</t>
  </si>
  <si>
    <t>Сутки</t>
  </si>
  <si>
    <t>К оплате:</t>
  </si>
  <si>
    <t>Арендодатель:</t>
  </si>
  <si>
    <t>Арендатор:</t>
  </si>
  <si>
    <t>Сумма сом</t>
  </si>
  <si>
    <t>Кол. Суток</t>
  </si>
  <si>
    <t>Стоимость ущерба</t>
  </si>
  <si>
    <t xml:space="preserve">                     Приложение №1 к Договору аренды оборудования</t>
  </si>
  <si>
    <r>
      <t xml:space="preserve"> именуемый(-ая) в дальнейшем </t>
    </r>
    <r>
      <rPr>
        <b/>
        <sz val="16"/>
        <color theme="1"/>
        <rFont val="Calibri"/>
        <family val="2"/>
        <charset val="204"/>
        <scheme val="minor"/>
      </rPr>
      <t xml:space="preserve">«Арендатор», </t>
    </r>
    <r>
      <rPr>
        <sz val="16"/>
        <color theme="1"/>
        <rFont val="Calibri"/>
        <family val="2"/>
        <charset val="204"/>
        <scheme val="minor"/>
      </rPr>
      <t>действующий(-ая)</t>
    </r>
  </si>
  <si>
    <t>зарегистрированный(-ая)</t>
  </si>
  <si>
    <t>г. Бишкек</t>
  </si>
  <si>
    <t>о нижеследующем:</t>
  </si>
  <si>
    <t>Завод. или индеф. №</t>
  </si>
  <si>
    <t>Кол. Оборудования</t>
  </si>
  <si>
    <t>Дата:</t>
  </si>
  <si>
    <t>АКТ РАСЧЕТА АРЕНДНОЙ ПЛАТЫ</t>
  </si>
  <si>
    <t>от Арендатора.</t>
  </si>
  <si>
    <t>5. Настоящий Акт составлен в 2-ух экземплярах, имеющих одинаковую юридическую силу, по одному для каждой из сторон.</t>
  </si>
  <si>
    <t>СЧЕТ НА ОПЛАТУ</t>
  </si>
  <si>
    <t>____________________________</t>
  </si>
  <si>
    <r>
      <t xml:space="preserve"> именуемый в дальнейшем </t>
    </r>
    <r>
      <rPr>
        <b/>
        <sz val="16"/>
        <color theme="1"/>
        <rFont val="Calibri"/>
        <family val="2"/>
        <charset val="204"/>
        <scheme val="minor"/>
      </rPr>
      <t>«Арендодатель»</t>
    </r>
    <r>
      <rPr>
        <sz val="16"/>
        <color theme="1"/>
        <rFont val="Calibri"/>
        <family val="2"/>
        <scheme val="minor"/>
      </rPr>
      <t>, с одной стороны и</t>
    </r>
  </si>
  <si>
    <t>Унифицированная форма № КО-1</t>
  </si>
  <si>
    <t>организация</t>
  </si>
  <si>
    <t>Код</t>
  </si>
  <si>
    <t>КВИТАНЦИЯ</t>
  </si>
  <si>
    <t>Форма по ОКУД</t>
  </si>
  <si>
    <t>по ОКПО</t>
  </si>
  <si>
    <t>к приходному кассовому ордеру №</t>
  </si>
  <si>
    <t>структурное подразделение</t>
  </si>
  <si>
    <t>от «</t>
  </si>
  <si>
    <t>г.</t>
  </si>
  <si>
    <t>Дата</t>
  </si>
  <si>
    <t>ПРИХОДНЫЙ КАССОВЫЙ ОРДЕР</t>
  </si>
  <si>
    <t>составления</t>
  </si>
  <si>
    <t>Принято от</t>
  </si>
  <si>
    <t>Основание:</t>
  </si>
  <si>
    <t>Дебет</t>
  </si>
  <si>
    <t>Кредит</t>
  </si>
  <si>
    <t>Сумма,</t>
  </si>
  <si>
    <t>код</t>
  </si>
  <si>
    <t>корреспон-</t>
  </si>
  <si>
    <t>целевого</t>
  </si>
  <si>
    <t>структурного</t>
  </si>
  <si>
    <t>дирующий</t>
  </si>
  <si>
    <t>аналитичес-</t>
  </si>
  <si>
    <t>назначения</t>
  </si>
  <si>
    <t>подразделения</t>
  </si>
  <si>
    <t>счет, субсчет</t>
  </si>
  <si>
    <t>кого учета</t>
  </si>
  <si>
    <t>Сумма</t>
  </si>
  <si>
    <t>цифрами</t>
  </si>
  <si>
    <t>прописью</t>
  </si>
  <si>
    <t>В том числе</t>
  </si>
  <si>
    <t>«</t>
  </si>
  <si>
    <t>Приложение</t>
  </si>
  <si>
    <t>М. П. (штампа)</t>
  </si>
  <si>
    <t>Главный бухгалтер</t>
  </si>
  <si>
    <t>(расшифровка подписи)</t>
  </si>
  <si>
    <t>Получил кассир</t>
  </si>
  <si>
    <t>Кассир</t>
  </si>
  <si>
    <t>сом. тыйын.</t>
  </si>
  <si>
    <t>Народная аренда строительного инструмента</t>
  </si>
  <si>
    <t>тыйын</t>
  </si>
  <si>
    <t>1</t>
  </si>
  <si>
    <t>Аренда строительного оборудования</t>
  </si>
  <si>
    <t xml:space="preserve"> Акт дополнительных данных</t>
  </si>
  <si>
    <t>Телефон</t>
  </si>
  <si>
    <t>Адрес</t>
  </si>
  <si>
    <t>Родственники, друзья, знакомые.</t>
  </si>
  <si>
    <t>Паспортные данные</t>
  </si>
  <si>
    <t xml:space="preserve">с другой стороны заключили Договор о нижеследующем:  </t>
  </si>
  <si>
    <t>Итого: стоимость оборудования</t>
  </si>
  <si>
    <t>Итого к оплате:</t>
  </si>
  <si>
    <t>Арендатор оплачивает арендную плату Арендодателю за пользование оборудованием:</t>
  </si>
  <si>
    <t>года рождения</t>
  </si>
  <si>
    <t>1234587</t>
  </si>
  <si>
    <t>6598</t>
  </si>
  <si>
    <t>200</t>
  </si>
  <si>
    <t xml:space="preserve">                  Народная аренда строительного инструмента</t>
  </si>
  <si>
    <t>Должник</t>
  </si>
  <si>
    <t>Инструмент</t>
  </si>
  <si>
    <t>Кол-во суток</t>
  </si>
  <si>
    <t>Факт. место жительство</t>
  </si>
  <si>
    <t>Примечание</t>
  </si>
  <si>
    <t>Рег. по паспорту</t>
  </si>
  <si>
    <t>Зинченко Александр Александрович</t>
  </si>
  <si>
    <t>И Н Ф О Р М А Ц И Я   О    З А Я В И Т Е Л Е:</t>
  </si>
  <si>
    <t>Ф.И.О.</t>
  </si>
  <si>
    <t>Дата рождения</t>
  </si>
  <si>
    <t>Место рождения</t>
  </si>
  <si>
    <t>Гражданство</t>
  </si>
  <si>
    <t>Номер, серия и дата выдачи паспорта</t>
  </si>
  <si>
    <t>Пин \ ИНН</t>
  </si>
  <si>
    <t>Адрес по прописке</t>
  </si>
  <si>
    <t>ул. Ялтинская д 56 \1</t>
  </si>
  <si>
    <t>Фактический адрес проживания</t>
  </si>
  <si>
    <t>№ раб. телефона</t>
  </si>
  <si>
    <t>0 555 147 688</t>
  </si>
  <si>
    <t>№ дом. телефона</t>
  </si>
  <si>
    <t>№ моб. телефона</t>
  </si>
  <si>
    <t>Место работы</t>
  </si>
  <si>
    <t>Должность</t>
  </si>
  <si>
    <t>Руководитель проката</t>
  </si>
  <si>
    <t>Образование</t>
  </si>
  <si>
    <t>Высшее</t>
  </si>
  <si>
    <t>Семейное положение</t>
  </si>
  <si>
    <t>Женат</t>
  </si>
  <si>
    <r>
      <rPr>
        <b/>
        <sz val="12"/>
        <color theme="1"/>
        <rFont val="Times New Roman"/>
        <family val="1"/>
        <charset val="204"/>
      </rPr>
      <t>Примечание</t>
    </r>
    <r>
      <rPr>
        <sz val="12"/>
        <color theme="1"/>
        <rFont val="Times New Roman"/>
        <family val="1"/>
        <charset val="204"/>
      </rPr>
      <t xml:space="preserve"> (обращался ли ранее с заявлением об этом совершённом или готовящемся преступлении\проступке в другой правоохранительный орган, если да то когда и в какой орган): </t>
    </r>
  </si>
  <si>
    <t>нет</t>
  </si>
  <si>
    <r>
      <rPr>
        <b/>
        <sz val="12"/>
        <color theme="1"/>
        <rFont val="Times New Roman"/>
        <family val="1"/>
        <charset val="204"/>
      </rPr>
      <t>Приложение</t>
    </r>
    <r>
      <rPr>
        <sz val="12"/>
        <color theme="1"/>
        <rFont val="Times New Roman"/>
        <family val="1"/>
        <charset val="204"/>
      </rPr>
      <t xml:space="preserve"> (имеются вещественные доказательства. аудио-видео запись происшествия, документы и другие, относящиеся к преступлению\проступку материалы):</t>
    </r>
  </si>
  <si>
    <r>
      <rPr>
        <b/>
        <sz val="12"/>
        <color theme="1"/>
        <rFont val="Times New Roman"/>
        <family val="1"/>
        <charset val="204"/>
      </rPr>
      <t>Дополнения</t>
    </r>
    <r>
      <rPr>
        <sz val="12"/>
        <color theme="1"/>
        <rFont val="Times New Roman"/>
        <family val="1"/>
        <charset val="204"/>
      </rPr>
      <t xml:space="preserve"> (любые имеющиеся дополнения в части информации о заявителе):</t>
    </r>
  </si>
  <si>
    <r>
      <t xml:space="preserve">Заявление и личные данные с моих слов </t>
    </r>
    <r>
      <rPr>
        <b/>
        <u/>
        <sz val="12"/>
        <color theme="1"/>
        <rFont val="Times New Roman"/>
        <family val="1"/>
        <charset val="204"/>
      </rPr>
      <t>напечатаны</t>
    </r>
    <r>
      <rPr>
        <b/>
        <sz val="12"/>
        <color theme="1"/>
        <rFont val="Times New Roman"/>
        <family val="1"/>
        <charset val="204"/>
      </rPr>
      <t xml:space="preserve"> (написаны) верно, мной</t>
    </r>
  </si>
  <si>
    <r>
      <t xml:space="preserve">прочитаны (написаны, </t>
    </r>
    <r>
      <rPr>
        <b/>
        <u/>
        <sz val="12"/>
        <color theme="1"/>
        <rFont val="Times New Roman"/>
        <family val="1"/>
        <charset val="204"/>
      </rPr>
      <t>напечатаны собственноручно</t>
    </r>
    <r>
      <rPr>
        <b/>
        <sz val="12"/>
        <color theme="1"/>
        <rFont val="Times New Roman"/>
        <family val="1"/>
        <charset val="204"/>
      </rPr>
      <t>) -нужное подчеркнуть</t>
    </r>
  </si>
  <si>
    <t xml:space="preserve">          </t>
  </si>
  <si>
    <t>Подпись заявителя</t>
  </si>
  <si>
    <t xml:space="preserve"> «____» ___________ 2019 г.</t>
  </si>
  <si>
    <t xml:space="preserve"> «____»  час. «____»мин.</t>
  </si>
  <si>
    <t>Заявление принял:_______________________________________________________</t>
  </si>
  <si>
    <t>________________________________________________________</t>
  </si>
  <si>
    <t>(должность, фамилия, инициалы, подпись)</t>
  </si>
  <si>
    <t>Выдан талон-уведомление №_______________________________________</t>
  </si>
  <si>
    <t>Начальнику УВД Свердловского</t>
  </si>
  <si>
    <t>района города Бишкек</t>
  </si>
  <si>
    <t>Полковнику милиции</t>
  </si>
  <si>
    <t>Тагаеву А.Г.</t>
  </si>
  <si>
    <t>ОТ КОГО: Зинченко</t>
  </si>
  <si>
    <t>Александра Александровича</t>
  </si>
  <si>
    <t>ЗАЯВЛЕНИЕ</t>
  </si>
  <si>
    <t>о совершённом или готовящемся преступлении/проступке</t>
  </si>
  <si>
    <t>Я,</t>
  </si>
  <si>
    <t>прошу привлечь к уголовной</t>
  </si>
  <si>
    <t>ответственности</t>
  </si>
  <si>
    <t xml:space="preserve">за то, что он </t>
  </si>
  <si>
    <t xml:space="preserve">года примерно в </t>
  </si>
  <si>
    <t xml:space="preserve">китайского производства стоимостью </t>
  </si>
  <si>
    <t>а также сумма за прокат</t>
  </si>
  <si>
    <t>Тем самым гражданин</t>
  </si>
  <si>
    <t>причинил мне материальный ущерб на общую сумму</t>
  </si>
  <si>
    <t>(краткое сведения о совершенном или готовящемся преступлении, которые заявитель</t>
  </si>
  <si>
    <t xml:space="preserve"> должен отразить выше: о времени, места и способе совершения преступления, о</t>
  </si>
  <si>
    <t xml:space="preserve">полученных телесных повреждениях, обращался ли в мед учреждения, когда и где </t>
  </si>
  <si>
    <t xml:space="preserve"> и кто производил осмотр, о преступниках или подозреваемых, роль каждого из лиц</t>
  </si>
  <si>
    <t xml:space="preserve"> совершивших преступное посягательство, о сведениях очевидцах уголовного</t>
  </si>
  <si>
    <t xml:space="preserve"> правонарушения, о сумме материального ущерба, о вещественных доказательствах и </t>
  </si>
  <si>
    <t>и другие сведения, раскрывающие суть произошедшего события)</t>
  </si>
  <si>
    <t>Зинченко А. А.,</t>
  </si>
  <si>
    <t xml:space="preserve"> за ведомо ложное сообщение о совершении преступления, которое предусмотрено</t>
  </si>
  <si>
    <t>От гражданина Зинченко</t>
  </si>
  <si>
    <t>25.06.1983г.р., прож.: г. Бишкек</t>
  </si>
  <si>
    <t>ул. Ялтинская д.56\1</t>
  </si>
  <si>
    <t>оборудования.</t>
  </si>
  <si>
    <t>тел.: 0555 147 688</t>
  </si>
  <si>
    <t>ОБЪЯСНИТЕЛЬНАЯ</t>
  </si>
  <si>
    <t xml:space="preserve">По существу дела поясную о том что я проживаю по вышеуказанному адресу </t>
  </si>
  <si>
    <t xml:space="preserve"> со своей семьей с рождения.</t>
  </si>
  <si>
    <t>В настоящее время я работаю руководителем пункта проката строительного</t>
  </si>
  <si>
    <t xml:space="preserve">оборудования который находится по адресу </t>
  </si>
  <si>
    <t xml:space="preserve">приблизительно в </t>
  </si>
  <si>
    <t xml:space="preserve">в пункт проката пришел мужчина </t>
  </si>
  <si>
    <t xml:space="preserve">азиатской национальности в возрасте </t>
  </si>
  <si>
    <t xml:space="preserve">30 - 35 </t>
  </si>
  <si>
    <t>лет и начал интересоваться</t>
  </si>
  <si>
    <t>разнообразным строительным оборудованием, основное внимание он акцентировал</t>
  </si>
  <si>
    <t>на</t>
  </si>
  <si>
    <t>где он согласился с оными и мы заключили договор аренды оборудования.</t>
  </si>
  <si>
    <t xml:space="preserve">должен был вернуть оборудование через </t>
  </si>
  <si>
    <t>гр.</t>
  </si>
  <si>
    <t>оборудование не привез не продлил договор аренды</t>
  </si>
  <si>
    <t>но все тщетно телефон не берет хотя гудки идут, по WhatsApp не отвечает</t>
  </si>
  <si>
    <t>2 недель и вовсе отключил телефон и до сих пор он недоступен.</t>
  </si>
  <si>
    <t>Объяснительная напечатана собственноручно и верно</t>
  </si>
  <si>
    <t>Зинченко А. А.</t>
  </si>
  <si>
    <t>год рож.</t>
  </si>
  <si>
    <t>где войдя в мое доверие обманным путем завладел имуществом</t>
  </si>
  <si>
    <t>Я объяснил ему наши условия проката, данного оборудования</t>
  </si>
  <si>
    <t>Согласно заключенному договору аренды   гр.</t>
  </si>
  <si>
    <t>Жена</t>
  </si>
  <si>
    <t>Мать</t>
  </si>
  <si>
    <t>Любовница</t>
  </si>
  <si>
    <t>инструмента на сегодняшний день составила</t>
  </si>
  <si>
    <t>об уголовной ответственности по ст.344 УК. КР.</t>
  </si>
  <si>
    <t>УГНС 000</t>
  </si>
  <si>
    <t>данный гражданин</t>
  </si>
  <si>
    <t>Заранее огромное спасибо за внимание!!!</t>
  </si>
  <si>
    <t>взял и не вернул строительное оборудование на сумму:</t>
  </si>
  <si>
    <t>в аварию, телефон недоступен по WhatsApp не отвечает. Человек производил хорошее</t>
  </si>
  <si>
    <t>объявить его в розыск.</t>
  </si>
  <si>
    <t>Огромная просьба если вы его знаете дайте мне знать где он что с ним</t>
  </si>
  <si>
    <t>Добрый день, хотел у вас узнать знаете ли вы гражданина Кыргызской Республики</t>
  </si>
  <si>
    <t xml:space="preserve">я ищу его родственников или знакомых, может что с ним случилось, может попал </t>
  </si>
  <si>
    <t>г.р.</t>
  </si>
  <si>
    <t>Предоплата</t>
  </si>
  <si>
    <t>от</t>
  </si>
  <si>
    <t>ID</t>
  </si>
  <si>
    <t>ПИН:</t>
  </si>
  <si>
    <t xml:space="preserve"> 2. ПРАВА И ОБЯЗАННОСТИ СТОРОН</t>
  </si>
  <si>
    <t>2.1. Арендодатель имеет право:</t>
  </si>
  <si>
    <t>2.3. Арендодатель обязуется:</t>
  </si>
  <si>
    <t>2.4. Арендатор обязуется:</t>
  </si>
  <si>
    <t>предусмотренного сторонами в Приложении №1. На момент возврата оборудование должно быть исправным, в полной</t>
  </si>
  <si>
    <t>комплектации и в чистом виде. В противном случае, Арендодатель имеет право  не принимать данное оборудование до полного</t>
  </si>
  <si>
    <t>устранения недостатков, или выставить счет на оплату за дополнительные услуги  (чистку, мойку, приведение в надлежащий вид).</t>
  </si>
  <si>
    <t xml:space="preserve">2.6. Арендатор обязан принять меры для возврата имущества в чистом виде, в противном случае с Арендатора взимается </t>
  </si>
  <si>
    <t>питания, утраты защитных элементов, появления посторонних звуков в работе и других проявлений неисправности.</t>
  </si>
  <si>
    <t>____________________________________________________</t>
  </si>
  <si>
    <t>(Расшифровка подписи)</t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</si>
  <si>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 xml:space="preserve">- не передавать свои права и обязанности по настоящему Договору, другому лицу, а также не </t>
    </r>
    <r>
      <rPr>
        <sz val="16"/>
        <color theme="1"/>
        <rFont val="Calibri"/>
        <family val="2"/>
        <charset val="204"/>
        <scheme val="minor"/>
      </rPr>
      <t>вносить Имущество</t>
    </r>
  </si>
  <si>
    <t>5.6. В случае утраты или невозврата оборудования, Арендатор возмещает Арендодателю рыночную стоимость утраченного</t>
  </si>
  <si>
    <t>оборудования, указанную в Акте приема передачи.</t>
  </si>
  <si>
    <r>
      <t>5.7. Арендодатель не несет ответственности за травмы и несчастные случаи, произошедшие с Арендатором.</t>
    </r>
    <r>
      <rPr>
        <sz val="16"/>
        <color theme="1"/>
        <rFont val="Calibri"/>
        <family val="2"/>
        <charset val="204"/>
        <scheme val="minor"/>
      </rPr>
      <t xml:space="preserve"> Арендодатель не несет </t>
    </r>
  </si>
  <si>
    <t>ответственности за вред, причиненный третьим лицам и их имуществу с помощью имущества Арендодателя.</t>
  </si>
  <si>
    <t>7.3. При подписании данного договора Арендатор дает согласие на хранение и обработку, своих персональных данных,</t>
  </si>
  <si>
    <t>Интернет и в черных списках на сайтах не надежных арендаторов, в случае возникновения долговых обязательств перед</t>
  </si>
  <si>
    <t>Арендодателем.</t>
  </si>
  <si>
    <t>ул. Ялтинская д. №  56</t>
  </si>
  <si>
    <t>3. Настоящим Арендодатель подтверждает получение предоплаты в размере</t>
  </si>
  <si>
    <t>СЧЕТ ФАКТУРА</t>
  </si>
  <si>
    <t>Стоимость оборудования</t>
  </si>
  <si>
    <t>Дата и время возврата</t>
  </si>
  <si>
    <t>Кол-во оборуд.</t>
  </si>
  <si>
    <t>Кол суток</t>
  </si>
  <si>
    <t>ИТОГО:</t>
  </si>
  <si>
    <t>3. Имущество передается в полной исправности. Работоспособность Имущества проверена Арендодателем</t>
  </si>
  <si>
    <t>4. Стороны по факту оказанных услуг претензий друг к другу не имеют.</t>
  </si>
  <si>
    <t>3. Арендодатель ознакомил Арендатора с правилами эксплуатации и хранения Имущества, с правилами техники безопасности.</t>
  </si>
  <si>
    <t>ОБЯЗАТЕЛЬСТВО</t>
  </si>
  <si>
    <t>зарегистрированный (-ая)</t>
  </si>
  <si>
    <t>по адресу</t>
  </si>
  <si>
    <t>Фактическое место  проживание</t>
  </si>
  <si>
    <t>1.</t>
  </si>
  <si>
    <t>Обязуюсь погасить задолженность в размере :</t>
  </si>
  <si>
    <t>в срок до</t>
  </si>
  <si>
    <t>Задолженность обязуюсь погашать равными долями по</t>
  </si>
  <si>
    <t>в  течении</t>
  </si>
  <si>
    <t>не позднее</t>
  </si>
  <si>
    <r>
      <rPr>
        <sz val="14"/>
        <color theme="0"/>
        <rFont val="Times New Roman"/>
        <family val="1"/>
        <charset val="204"/>
      </rPr>
      <t>,</t>
    </r>
    <r>
      <rPr>
        <sz val="14"/>
        <color theme="1"/>
        <rFont val="Times New Roman"/>
        <family val="1"/>
        <charset val="204"/>
      </rPr>
      <t>-го рабочего дня каждого месяца</t>
    </r>
  </si>
  <si>
    <t>либо на мобильный кошелек Mega Pay по номеру</t>
  </si>
  <si>
    <t>с обязательным</t>
  </si>
  <si>
    <t>фотографированием чека оплаты задолженности и отправки его на WhatsApp этого же номера.</t>
  </si>
  <si>
    <t>2.</t>
  </si>
  <si>
    <t xml:space="preserve">каждый день просрочки, от суммы основного долга. В рамках исполнения обязательства в </t>
  </si>
  <si>
    <t>случае просрочки, в первую очередь погашается неустойка.</t>
  </si>
  <si>
    <t>3.</t>
  </si>
  <si>
    <t xml:space="preserve">Также предупрежден(а), что в случае неуплаты мною долга, дело о взыскании </t>
  </si>
  <si>
    <t>задолженности со всеми штрафными начислениями, будет передано в суд по месту нахождения</t>
  </si>
  <si>
    <t xml:space="preserve">кредитора  г. Бишкек Свердловский районный суд (по адресу ул. Ибраимова д. № 64) в порядке </t>
  </si>
  <si>
    <t>установленном действующим законодательством КР.( договорная подсудность Ст.34 ГПК К.Р.)</t>
  </si>
  <si>
    <t xml:space="preserve">4. </t>
  </si>
  <si>
    <t xml:space="preserve">В случае смены жительства и номеров телефонов обязуюсь в 3-х дневный срок </t>
  </si>
  <si>
    <t>сообщить новые данные.</t>
  </si>
  <si>
    <t>(Ф.И.О., должника)</t>
  </si>
  <si>
    <t>(подпись должника)</t>
  </si>
  <si>
    <t>(Ф.И.О., поручителя)</t>
  </si>
  <si>
    <t>(подпись поручителя)</t>
  </si>
  <si>
    <t>(Ф.И.О., кредитора)</t>
  </si>
  <si>
    <t>(подпись кредитора)</t>
  </si>
  <si>
    <t>4. Настоящий Акт составлен в 2-ух экземплярах, имеющих одинаковую юридическую силу, по одному для каждой из сторон.</t>
  </si>
  <si>
    <t>дополнительная плата за чистку оборудования в размере 500 сом</t>
  </si>
  <si>
    <t>Год рождения</t>
  </si>
  <si>
    <t>В залоге</t>
  </si>
  <si>
    <t>Ед.Изм.</t>
  </si>
  <si>
    <t>Сут</t>
  </si>
  <si>
    <t>Расчетный период аренды</t>
  </si>
  <si>
    <r>
      <t xml:space="preserve">наказание в виде лишением свободы до 3-х лет </t>
    </r>
    <r>
      <rPr>
        <b/>
        <sz val="11"/>
        <color theme="1"/>
        <rFont val="Times New Roman"/>
        <family val="1"/>
        <charset val="204"/>
      </rPr>
      <t>ПРЕДУПРЕЖДЕН</t>
    </r>
  </si>
  <si>
    <t>паспорт</t>
  </si>
  <si>
    <t>Арендатор оплатил арендную плату Арендодателю за пользование оборудованием:</t>
  </si>
  <si>
    <t>2.5.  Если Арендатор не возвратил арендованное имущество либо возвратил его несвоевременно, то Арендатор оплачивает</t>
  </si>
  <si>
    <t xml:space="preserve">арендную плату Арендодателю за пользование имуществом за все время просрочки (за все время нахождения имущества </t>
  </si>
  <si>
    <t>Уважаемый (-ая)</t>
  </si>
  <si>
    <t>Прошу Вас до</t>
  </si>
  <si>
    <t>произвести оплату вашей задолженности и вернуть оборудование.</t>
  </si>
  <si>
    <t>(Подпись)</t>
  </si>
  <si>
    <t>Контактный телефон</t>
  </si>
  <si>
    <t>E-mail: alex.zin4@yandex.ru</t>
  </si>
  <si>
    <t>УВЕДОМЛЕНИЕ АРЕНДАТОРУ</t>
  </si>
  <si>
    <t>2. Одновременно с иском в суд подается ходатайство о применении мер по обеспечении иска.</t>
  </si>
  <si>
    <t>Меры по обеспечению иска:</t>
  </si>
  <si>
    <t xml:space="preserve">сотрудниками Пункта проката по телефону </t>
  </si>
  <si>
    <t xml:space="preserve"> в пятидневный срок.</t>
  </si>
  <si>
    <r>
      <t xml:space="preserve">Согласно договору аренды оборудования за     </t>
    </r>
    <r>
      <rPr>
        <b/>
        <sz val="14"/>
        <color theme="1"/>
        <rFont val="Calibri"/>
        <family val="2"/>
        <charset val="204"/>
        <scheme val="minor"/>
      </rPr>
      <t>№</t>
    </r>
    <r>
      <rPr>
        <sz val="14"/>
        <color theme="1"/>
        <rFont val="Calibri"/>
        <family val="2"/>
        <scheme val="minor"/>
      </rPr>
      <t xml:space="preserve"> </t>
    </r>
  </si>
  <si>
    <t>- наложение ареста на движимое имущество (включая автотранспорт).</t>
  </si>
  <si>
    <t>- денежные средства, принадлежащие ответчику и находящиеся у него или у других лиц.</t>
  </si>
  <si>
    <t>- установление ограничения на Ваш выезд за пределы Кыргызской Республики.</t>
  </si>
  <si>
    <t>- наложение ареста на недвижимое имущество.</t>
  </si>
  <si>
    <t>- арест, опись, изъятие и реализация Вашего имущества.</t>
  </si>
  <si>
    <t>Дата и время выдачи   Имущества</t>
  </si>
  <si>
    <t>Стоимость аренды (найма) Имущества за 1 сутки</t>
  </si>
  <si>
    <t xml:space="preserve">                        Договор аренды оборудования (имущественного найма)</t>
  </si>
  <si>
    <t xml:space="preserve">3.4. Арендатор (наниматель) обязан своевременно вносить плату за пользованием имуществом. (в соответствии со ст. 551 ГК.К.Р.)  </t>
  </si>
  <si>
    <t>неустойку, в размере 1 (один) % от стоимости оборудования, за каждые сутки просрочки (стоимость оборудования указана</t>
  </si>
  <si>
    <t>3.6. В случае просрочки арендного платежа в установленный договором срок (5 (пять) рабочих дней), Арендатор оплачивает</t>
  </si>
  <si>
    <t>Возвратить оборудование Арендодателю в день окончания срока аренды Имущества с учетом точного времени,</t>
  </si>
  <si>
    <t>в акте приема передачи)</t>
  </si>
  <si>
    <t>в уставной капитал в хозяйственные товарищества и общества или в качестве паевого взноса в иные кооперативы;</t>
  </si>
  <si>
    <t>в пункт проката для продления договора аренды на новый срок.</t>
  </si>
  <si>
    <t>досудебного урегулирования спора (коллекторские, детективные, юридические организации),  либо, при наличии признаков</t>
  </si>
  <si>
    <t>мошенничества, причинение имущественного ущерба, обмана или злоупотребления доверием, обратиться в правоохранительные</t>
  </si>
  <si>
    <t>органы с целью возбуждения ими уголовного дела. При этом виновное лицо оплачивает расходы, понесённые Арендодателем.</t>
  </si>
  <si>
    <t>2.2. Устанавливать причины повреждения Оборудования и определять размер ущерба причинённый Арендатором.</t>
  </si>
  <si>
    <t>у Арендатора) в соответствии со ч 2. ст.561 ГК.К.Р. пункт 2</t>
  </si>
  <si>
    <t>Вы взяли во временное пользование Имущество и обязались оплатить арендную плату за пользование и возвратить</t>
  </si>
  <si>
    <t>подписания данного Акта.</t>
  </si>
  <si>
    <t>(стоимость оборудования указана в акте приема передачи)</t>
  </si>
  <si>
    <t>рабочих дней), Арендатор оплачивает неустойку, в размере 1 (один) % от стоимости оборудования, за каждые сутки просрочки</t>
  </si>
  <si>
    <t>6. Настоящий Акт составлен в 2-ух экземплярах, имеющих одинаковую юридическую силу, по одному для каждой из сторон.</t>
  </si>
  <si>
    <t>Согласно пункту 3.6. Неустойка  1% за каждые сутки просрочки арендного платежа</t>
  </si>
  <si>
    <t>Количество суток просрочки арендного платежа</t>
  </si>
  <si>
    <t>Количество суток просрочки невозврата Имущества</t>
  </si>
  <si>
    <t>Расчет неустоек</t>
  </si>
  <si>
    <t>4. Арендатор обязуется оплатить образовавшуюся задолженность в размере</t>
  </si>
  <si>
    <t xml:space="preserve">5. Согласно пункту 3.6. договора аренды оборудования: В случае просрочки арендного платежа в установленный договором срок (5 (пять) </t>
  </si>
  <si>
    <t>Количество оборудования</t>
  </si>
  <si>
    <t>Наименование Имущества</t>
  </si>
  <si>
    <t>Наименование        Имущества</t>
  </si>
  <si>
    <t xml:space="preserve">3. Арендатор обязуется оплатить арендную плату за пользование Имуществом, не позднее 5 (пяти) рабочих </t>
  </si>
  <si>
    <t>4. Арендатор добровольно передает личный паспорт гражданина в залог за арендуемое оборудование.</t>
  </si>
  <si>
    <t>5. Исправность имущества, сдаваемого в аренду проверена Арендодателем в присутствии Арендатора.</t>
  </si>
  <si>
    <t>6. Имущество передается Арендатору и возвращается по месту нахождения пункта проката Арендодателя</t>
  </si>
  <si>
    <t>Установленный договором срок возврата Имущества и оплаты арендной оплаты истек:</t>
  </si>
  <si>
    <t>Вы не возвратили арендованное имущество в оговоренный срок и не оплатили стоимость арендной платы за пользование</t>
  </si>
  <si>
    <t>Имуществом.</t>
  </si>
  <si>
    <t>уведомляет что на</t>
  </si>
  <si>
    <t>у Вас имеется задолженность по арендной плате за пользование</t>
  </si>
  <si>
    <t>Имуществом в размере:</t>
  </si>
  <si>
    <t>в размере 1 (один) % от стоимости оборудования, за каждые сутки просрочки (стоимость оборудования указана в акте</t>
  </si>
  <si>
    <t>2.7. В случае задержки имущества более оговоренного срока, известить об этом Арендодателя за 1-и сутки и лично явится</t>
  </si>
  <si>
    <t>2.8. В случае невозвращения нанятого имущества в установленный договором срок, Арендатор оплачивает неустойку,</t>
  </si>
  <si>
    <t xml:space="preserve">2.9. Арендатор обязан немедленно прекратить работу инструмента, оборудования при нарушении электро-изоляции кабелей </t>
  </si>
  <si>
    <t>Согласно пункту 2.8. Неустойка  1% за каждые сутки просрочки не возврата Имущества</t>
  </si>
  <si>
    <t>произвести оплату вашей задолженности и неустойки и вернуть оборудование.</t>
  </si>
  <si>
    <t>сутки просрочки.</t>
  </si>
  <si>
    <t>Итого к оплате :</t>
  </si>
  <si>
    <t>Согласно пункту 7.3. Договора аренды оборудования, Вы будете добавлены в общий черный список недобросовестных</t>
  </si>
  <si>
    <t>арендаторов по всему СНГ, а также Ваши данные будут размещены в аналогичных списках в социальных сетях в всемирной</t>
  </si>
  <si>
    <t>Ввиду вышеизложенного Вам необходимо произвести оплату образовавшейся задолженности и вернуть оборудование.</t>
  </si>
  <si>
    <t>сети Интернет ("Одноклассники", "Фейсбук", "Инстаграм", "В контакте" и т. д.). Данные списки являются общедоступными,</t>
  </si>
  <si>
    <t>Ввиду вышеизложенного прошу Вас незамедлительно принять решение по моей претензии!!!</t>
  </si>
  <si>
    <t>ПРЕТЕНЗИЯ О ЗАДОЛЖНОСТИ</t>
  </si>
  <si>
    <t xml:space="preserve">получение информации, носящий рекламный характер, а также на  публикацию ФИО, даты рождения, фотографий в сети </t>
  </si>
  <si>
    <t>В случае неуплаты до указанного срока вышеуказанной денежной суммы и невозврата оборудования в отношении Вас</t>
  </si>
  <si>
    <t>на этих интернет ресурсах (сайтах) (Ваши фотографию, копию паспорта и т.д.)</t>
  </si>
  <si>
    <t>А также все Ваши родственники и друзья будут проинформированы о Вашей задолженности.</t>
  </si>
  <si>
    <t>ДОСУДЕБНАЯ ПРЕТЕНЗИЯ</t>
  </si>
  <si>
    <t>за пользованием Имуществом и задолженность по уплате неустоек (штрафов, пени) по договору  имущественного найма.</t>
  </si>
  <si>
    <t xml:space="preserve">у Вас имеется просроченная задолженность по арендной плате </t>
  </si>
  <si>
    <t>В связи с грубым нарушением обязательств по несвоевременной арендной плате за пользованием Имуществом, с грубым</t>
  </si>
  <si>
    <t>нарушением обязательств по невозврату арендованного Имущества.</t>
  </si>
  <si>
    <t>в размере:</t>
  </si>
  <si>
    <t>носят безусловный и неоспоримый характер. Опираясь на имеющуюся судебную практику в подобных делах у меня, есть все</t>
  </si>
  <si>
    <t xml:space="preserve">вынесен надлежащий судебный акт и выдан исполнительный документ. </t>
  </si>
  <si>
    <t>основания предполагать, что законные требования о взыскании с Вас задолженности будут судом удовлетворены, и будет</t>
  </si>
  <si>
    <t>производства действия которого будут направленны на:</t>
  </si>
  <si>
    <t>- розыск, арест, денежных средств, находящихся на всех Ваших банковских счетах (в том числе кредитных и депозитных).</t>
  </si>
  <si>
    <t>- установление ограничения на Ваш выезд за пределы Кыргызской Республики до момента погашения задолженности.</t>
  </si>
  <si>
    <t xml:space="preserve">Помимо этого я оставляю за собой право обратится в правоохранительные органы с целью возбуждения ими в отношении </t>
  </si>
  <si>
    <t>до 3 лет)</t>
  </si>
  <si>
    <t>наказания вплоть до лишения свободы до 3 лет)</t>
  </si>
  <si>
    <t>обмана или злоупотребления доверием)- предусмотрено наказания вплоть до лишения свободы до 3 лет)</t>
  </si>
  <si>
    <t xml:space="preserve">получения согласий должника (соответственно, в дальнейшем я не буду нести ответственность за действие третьих лиц </t>
  </si>
  <si>
    <t xml:space="preserve"> В отношении Вас инициировано официальное разбирательство:</t>
  </si>
  <si>
    <t xml:space="preserve">Во избежание негативных последствий, указанных выше, Вам необходимо СРОЧНО!!! связаться с </t>
  </si>
  <si>
    <t xml:space="preserve">  и оплатить задолженность</t>
  </si>
  <si>
    <t>2. Оговоренный срок возврата и арендной оплаты за пользование Имуществом</t>
  </si>
  <si>
    <t>Арендатор возвращает, а Арендодатель принимает следующее Имущество и рассчитывает арендную плату за пользование оборудованием:</t>
  </si>
  <si>
    <t>не позднее 5 (пяти) рабочих дней с момента</t>
  </si>
  <si>
    <t>и любой человек вбивший Ваши данные в интернете сразу получит всю имеющуюся информацию о Вас, находящуюся</t>
  </si>
  <si>
    <r>
      <t xml:space="preserve">                    </t>
    </r>
    <r>
      <rPr>
        <sz val="16"/>
        <color theme="0"/>
        <rFont val="Calibri"/>
        <family val="2"/>
        <charset val="204"/>
        <scheme val="minor"/>
      </rPr>
      <t>,</t>
    </r>
    <r>
      <rPr>
        <sz val="16"/>
        <color theme="1"/>
        <rFont val="Calibri"/>
        <family val="2"/>
        <scheme val="minor"/>
      </rPr>
      <t>- по требованию Арендодателя предоставлять документ, удостоверяющий личность.</t>
    </r>
  </si>
  <si>
    <t>7.1. Настоящий Договор составлен в 2-ух экземплярах, имеющих одинаковую юридическую силу, по одному для каждой из сторон.</t>
  </si>
  <si>
    <t>4.1. Настоящий Договор вступает в силу с момента подписания и действует до полного исполнения сторонами своих обязательств.</t>
  </si>
  <si>
    <t xml:space="preserve">5.4. Арендодатель вправе досрочно расторгнуть настоящий Договор, если Арендатор использует Имущество не в соответствии с </t>
  </si>
  <si>
    <t>его назначением, либо ухудшает качество Имущества.</t>
  </si>
  <si>
    <t>5.3. Все риски, связанные с потерей или кражей, порчей или повреждением Имущества, независимо от того, исправим или</t>
  </si>
  <si>
    <t>неисправим ущерб, принимает на себя Арендатор.</t>
  </si>
  <si>
    <t>6.1. Все споры или разногласия, возникающие между сторонами по настоящему Договору или в связи с ним, разрешаются путем</t>
  </si>
  <si>
    <t>переговоров между сторонами.</t>
  </si>
  <si>
    <t>6.2. В случае невозможности разрешения споров путем переговоров, они подлежат рассмотрению в суде по месту нахождения</t>
  </si>
  <si>
    <t>законодательством КР.( договорная подсудность ст.34 ГПК К.Р.)</t>
  </si>
  <si>
    <t>5.1 В случае неисполнения либо ненадлежащего исполнения Арендатором обязательств по возврату Имущества, возмещению</t>
  </si>
  <si>
    <t>убытков Арендодателя и уплаты штрафа или неустоек предусмотренных настоящим Договором, Арендодатель вправе предпринять</t>
  </si>
  <si>
    <t>предусмотренные законодательством меры  по взысканию с Арендатора указанных денежных средств, в том числе привлекая к</t>
  </si>
  <si>
    <t>взысканию третьих лиц.</t>
  </si>
  <si>
    <t>4.3. Имущество, указанное в приложении №1 к настоящему Договору должно быть передано Арендатору  после подписания</t>
  </si>
  <si>
    <t>настоящего Договора и Акта приема-передачи Имущества.</t>
  </si>
  <si>
    <t xml:space="preserve">4.2. В случае желания Арендатора продлить настоящий Договор, он должен лично или по телефону обратится к Арендодателю в </t>
  </si>
  <si>
    <t>течение 1 суток до окончания срока действия настоящего Договора.</t>
  </si>
  <si>
    <t>3.5. При возврате Имущества, Арендатор обязан оплатить арендную плату за пользование Имуществом, не позднее 5 (пяти)</t>
  </si>
  <si>
    <t>рабочих дней с момента возврата Имущества Арендодателю.</t>
  </si>
  <si>
    <t>израсходовал, и складывается из стоимости 1 мм алмазного диска или коронки за 1 мм сегмента. Рабочая поверхность алмазного</t>
  </si>
  <si>
    <t>3.3. Цена аренды алмазного диска или коронки, рассчитывается исходя из количества миллиметров, которые Арендатор</t>
  </si>
  <si>
    <t>диска или коронки измеряется штангенциркулем на момент выдачи и возврата диска или коронки. Разницу в выработке оплачивает</t>
  </si>
  <si>
    <t>Арендатор согласно стоимости 1 мм рабочей поверхности диска или коронки. Округление выработки при замере осуществляется</t>
  </si>
  <si>
    <t>в большую сторону с шагом 1 мм.</t>
  </si>
  <si>
    <t>3.2. За пользование Имуществом, предоставленным по настоящему Договору, Арендатор единовременно уплачивает сумму</t>
  </si>
  <si>
    <t>и сдать Имущество в течение 1-х суток с</t>
  </si>
  <si>
    <t>момента поломки в пункт выдачи для выяснения причин поломки;</t>
  </si>
  <si>
    <r>
      <rPr>
        <sz val="16"/>
        <color theme="0"/>
        <rFont val="Calibri"/>
        <family val="2"/>
        <charset val="204"/>
        <scheme val="minor"/>
      </rPr>
      <t xml:space="preserve">                    ,</t>
    </r>
    <r>
      <rPr>
        <sz val="16"/>
        <color theme="1"/>
        <rFont val="Calibri"/>
        <family val="2"/>
        <scheme val="minor"/>
      </rPr>
      <t>- эксплуатировать полученное Имущество в соответствии с правилами его эксплуатации и</t>
    </r>
    <r>
      <rPr>
        <sz val="16"/>
        <color theme="1"/>
        <rFont val="Calibri"/>
        <family val="2"/>
        <charset val="204"/>
        <scheme val="minor"/>
      </rPr>
      <t xml:space="preserve"> техническими </t>
    </r>
  </si>
  <si>
    <t>характеристиками, соблюдая технику безопасности;</t>
  </si>
  <si>
    <t>2.8. В случае невозвращения нанятого имущества в установленный договором срок, Арендатор оплачивает неустойку, в размере</t>
  </si>
  <si>
    <t>1 (один) % от стоимости оборудования, за каждые сутки просрочки (стоимость оборудования указана в акте приема передачи)</t>
  </si>
  <si>
    <t xml:space="preserve">в соответствии со ч 2. ст.561 ГК.К.Р. пункт 2. </t>
  </si>
  <si>
    <t>безопасности.</t>
  </si>
  <si>
    <t>1.1. Арендодатель обязуется передать во временное пользование инструменты, машины и другое оборудование для выполнения</t>
  </si>
  <si>
    <t>строительных работ, именуемое в дальнейшем «Имущество», а Арендатор в свою очередь обязуется оплатить арендную плату за</t>
  </si>
  <si>
    <t xml:space="preserve">к настоящему Договору. </t>
  </si>
  <si>
    <t xml:space="preserve">1.3. Имущество, предоставляемое в аренду по настоящему Договору, должно использоваться по прямому назначению в </t>
  </si>
  <si>
    <t>соответствии с Правилами аренды строительного инструмента.</t>
  </si>
  <si>
    <t>- в присутствии Арендатора проверить исправность Имущества, отсутствие внешних дефектов, наличие контрольных пломб,</t>
  </si>
  <si>
    <t>комплектность и т.д.;</t>
  </si>
  <si>
    <t>-  ознакомить Арендатора с правилами предоставления Имущества в аренду и прейскурантом стоимости аренды строительного</t>
  </si>
  <si>
    <t>инструмента;</t>
  </si>
  <si>
    <t xml:space="preserve">- ознакомить Арендатора с правилами эксплуатации Имущества, и его техническими характеристиками. </t>
  </si>
  <si>
    <t>Кроме того, негативная информация о неоплате Вами задолженности передается в Бюро кредитных историй.</t>
  </si>
  <si>
    <t>Вас административных и уголовных дел :</t>
  </si>
  <si>
    <t>А также напоминаю Вам, что заключённый между нами договор имущественного найма содержит следующие пункты:</t>
  </si>
  <si>
    <t>оборудование в порядке и сроки указанные в Приложении №1 настоящего договора аренды оборудования.</t>
  </si>
  <si>
    <t>Уверен Вы, Осознаете что мои требования основываются на подписанном Вами договоре аренды оборудования и поэтому</t>
  </si>
  <si>
    <t>результате чего сумма, подлежащая к взысканию, значительно увеличится на сумму расходов государственной пошлины,</t>
  </si>
  <si>
    <t>исполнительного сбора, оплату юридических услуг представителей и других судебных издержек.</t>
  </si>
  <si>
    <t>1. Уже подготовленно  «дело» (подборка документов) о взыскании с Вас задолженности в принудительном порядке через суд. В</t>
  </si>
  <si>
    <r>
      <t>-</t>
    </r>
    <r>
      <rPr>
        <b/>
        <sz val="14"/>
        <color theme="1"/>
        <rFont val="Calibri"/>
        <family val="2"/>
        <charset val="204"/>
        <scheme val="minor"/>
      </rPr>
      <t xml:space="preserve"> По ст. 209 УК.К.Р. </t>
    </r>
    <r>
      <rPr>
        <sz val="14"/>
        <color theme="1"/>
        <rFont val="Calibri"/>
        <family val="2"/>
        <scheme val="minor"/>
      </rPr>
      <t>(мошенничество, то есть завладение чужим имуществом или приобретение  права на имущество путем</t>
    </r>
  </si>
  <si>
    <r>
      <rPr>
        <b/>
        <sz val="14"/>
        <color theme="1"/>
        <rFont val="Calibri"/>
        <family val="2"/>
        <charset val="204"/>
        <scheme val="minor"/>
      </rPr>
      <t>- По ст. 210 УК.К.Р</t>
    </r>
    <r>
      <rPr>
        <sz val="14"/>
        <color theme="1"/>
        <rFont val="Calibri"/>
        <family val="2"/>
        <scheme val="minor"/>
      </rPr>
      <t xml:space="preserve">. </t>
    </r>
    <r>
      <rPr>
        <sz val="14"/>
        <color theme="1"/>
        <rFont val="Calibri"/>
        <family val="2"/>
        <charset val="204"/>
        <scheme val="minor"/>
      </rPr>
      <t>(</t>
    </r>
    <r>
      <rPr>
        <sz val="14"/>
        <color theme="1"/>
        <rFont val="Calibri"/>
        <family val="2"/>
        <scheme val="minor"/>
      </rPr>
      <t>присвоение или растрата вверенного имущества</t>
    </r>
    <r>
      <rPr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scheme val="minor"/>
      </rPr>
      <t>-предусмотрено наказания вплоть до лишения свободы</t>
    </r>
  </si>
  <si>
    <r>
      <rPr>
        <b/>
        <sz val="14"/>
        <color theme="1"/>
        <rFont val="Calibri"/>
        <family val="2"/>
        <charset val="204"/>
        <scheme val="minor"/>
      </rPr>
      <t xml:space="preserve">- По ст. 215 УК.К.Р. </t>
    </r>
    <r>
      <rPr>
        <sz val="14"/>
        <color theme="1"/>
        <rFont val="Calibri"/>
        <family val="2"/>
        <charset val="204"/>
        <scheme val="minor"/>
      </rPr>
      <t>(</t>
    </r>
    <r>
      <rPr>
        <sz val="14"/>
        <color theme="1"/>
        <rFont val="Calibri"/>
        <family val="2"/>
        <scheme val="minor"/>
      </rPr>
      <t>причинение имущественного ущерба путем обмана или злоупотребления доверием</t>
    </r>
    <r>
      <rPr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scheme val="minor"/>
      </rPr>
      <t xml:space="preserve">- предусмотрено </t>
    </r>
  </si>
  <si>
    <r>
      <t xml:space="preserve">по взысканию с Вас задолженности) </t>
    </r>
    <r>
      <rPr>
        <b/>
        <sz val="14"/>
        <color theme="1"/>
        <rFont val="Calibri"/>
        <family val="2"/>
        <charset val="204"/>
        <scheme val="minor"/>
      </rPr>
      <t>ст.742 ГК К.Р.</t>
    </r>
  </si>
  <si>
    <r>
      <t xml:space="preserve">А также на основании </t>
    </r>
    <r>
      <rPr>
        <b/>
        <sz val="14"/>
        <color theme="1"/>
        <rFont val="Calibri"/>
        <family val="2"/>
        <charset val="204"/>
        <scheme val="minor"/>
      </rPr>
      <t>ст.739 ГК К.Р.</t>
    </r>
    <r>
      <rPr>
        <sz val="14"/>
        <color theme="1"/>
        <rFont val="Calibri"/>
        <family val="2"/>
        <scheme val="minor"/>
      </rPr>
      <t xml:space="preserve"> Арендодатель может переуступить право требования по договору третьим лицам без</t>
    </r>
  </si>
  <si>
    <r>
      <rPr>
        <b/>
        <sz val="14"/>
        <color theme="1"/>
        <rFont val="Calibri"/>
        <family val="2"/>
        <charset val="204"/>
        <scheme val="minor"/>
      </rPr>
      <t>КЫРГЫЗСКОЙ РЕСПУБЛИКИ Часть 2 статья 561 пункт 2.</t>
    </r>
    <r>
      <rPr>
        <sz val="14"/>
        <color theme="1"/>
        <rFont val="Calibri"/>
        <family val="2"/>
        <charset val="204"/>
        <scheme val="minor"/>
      </rPr>
      <t xml:space="preserve"> Неустойка в размере 1 (один) % от стоимости оборудования, за каждые </t>
    </r>
  </si>
  <si>
    <r>
      <t xml:space="preserve">Имуществом плюс неустойка, согласно пункту 2.8. Договора аренды оборудования и согласно </t>
    </r>
    <r>
      <rPr>
        <b/>
        <sz val="14"/>
        <color theme="1"/>
        <rFont val="Calibri"/>
        <family val="2"/>
        <charset val="204"/>
        <scheme val="minor"/>
      </rPr>
      <t>ГРАЖДАНСКОМУ КОДЕКСУ</t>
    </r>
  </si>
  <si>
    <r>
      <t xml:space="preserve">у Арендатора) в соответствии со </t>
    </r>
    <r>
      <rPr>
        <b/>
        <sz val="14"/>
        <color theme="1"/>
        <rFont val="Calibri"/>
        <family val="2"/>
        <charset val="204"/>
        <scheme val="minor"/>
      </rPr>
      <t>ч 2. ст.561 ГК.К.Р. пункт 2</t>
    </r>
  </si>
  <si>
    <r>
      <t xml:space="preserve">приема передачи) в соответствии со </t>
    </r>
    <r>
      <rPr>
        <b/>
        <sz val="14"/>
        <color theme="1"/>
        <rFont val="Calibri"/>
        <family val="2"/>
        <charset val="204"/>
        <scheme val="minor"/>
      </rPr>
      <t xml:space="preserve">ч 2. ст.561 ГК.К.Р. пункт 2. </t>
    </r>
  </si>
  <si>
    <t>Арендодателя, г. Бишкек Свердловский районный суд (по адресу ул. Ибраимова д. № 64) в порядке установленном действующим</t>
  </si>
  <si>
    <t>Фактическая       стоимость проката</t>
  </si>
  <si>
    <t>дней с момента возврата Имущества Арендодателю. (согласно пункту 3.6. договора аренды оборудования)</t>
  </si>
  <si>
    <t>Дата и время фактического возврата Имущества</t>
  </si>
  <si>
    <t>Оговоренная                дата и время
возврата    Имущества</t>
  </si>
  <si>
    <t>Вы взяли во временное пользование Имущество и обязались оплатить арендную плату за пользование Имуществом в сроки</t>
  </si>
  <si>
    <t>произвести оплату вашей задолженности.</t>
  </si>
  <si>
    <t>Взяли оборудование не оплатили арендную платы и не вернули оборудование</t>
  </si>
  <si>
    <r>
      <t xml:space="preserve">3.4. Арендатор (наниматель) обязан своевременно вносить плату за пользованием имуществом. (в соответствии </t>
    </r>
    <r>
      <rPr>
        <b/>
        <sz val="14"/>
        <color theme="1"/>
        <rFont val="Calibri"/>
        <family val="2"/>
        <charset val="204"/>
        <scheme val="minor"/>
      </rPr>
      <t>со ст. 551 ГК.К.Р.</t>
    </r>
    <r>
      <rPr>
        <sz val="14"/>
        <color theme="1"/>
        <rFont val="Calibri"/>
        <family val="2"/>
        <charset val="204"/>
        <scheme val="minor"/>
      </rPr>
      <t xml:space="preserve">)  </t>
    </r>
  </si>
  <si>
    <t xml:space="preserve">Имущества плюс неустойка, согласно пункту 3.6. Договора аренды оборудования Неустойка в размере 1 (один) % от стоимости </t>
  </si>
  <si>
    <r>
      <t>указанные в</t>
    </r>
    <r>
      <rPr>
        <b/>
        <sz val="14"/>
        <color theme="1"/>
        <rFont val="Calibri"/>
        <family val="2"/>
        <charset val="204"/>
        <scheme val="minor"/>
      </rPr>
      <t xml:space="preserve"> АКТЕ РАССЧЕТА АРЕНДНОЙ ПЛАТЫ</t>
    </r>
    <r>
      <rPr>
        <sz val="14"/>
        <color theme="1"/>
        <rFont val="Calibri"/>
        <family val="2"/>
        <scheme val="minor"/>
      </rPr>
      <t>. Вы обязались оплатить задолженность не позднее 5 рабочих дней с момента</t>
    </r>
  </si>
  <si>
    <r>
      <t xml:space="preserve">подписания акта. Также вы подписали </t>
    </r>
    <r>
      <rPr>
        <b/>
        <sz val="14"/>
        <color theme="1"/>
        <rFont val="Calibri"/>
        <family val="2"/>
        <charset val="204"/>
        <scheme val="minor"/>
      </rPr>
      <t>ОБЯЗАТЕЛЬСТВО</t>
    </r>
    <r>
      <rPr>
        <sz val="14"/>
        <color theme="1"/>
        <rFont val="Calibri"/>
        <family val="2"/>
        <charset val="204"/>
        <scheme val="minor"/>
      </rPr>
      <t xml:space="preserve"> по которому вы обязались погасить задолженность в срок до</t>
    </r>
  </si>
  <si>
    <t>Вы не оплатили стоимость арендной платы в оговоренный срок за пользование Имуществом.</t>
  </si>
  <si>
    <t>в соответствии со ст.320 ГК.КР., в размере 1 (один) %  от оставшейся суммы общего долга за</t>
  </si>
  <si>
    <t>Предупрежден что, в случае просрочки выплат по обязательству, будет начисляться неустойка</t>
  </si>
  <si>
    <t>суммы основного долга. В рамках исполнения обязательства в случае просрочки, в первую очередь погашается неустойка.</t>
  </si>
  <si>
    <r>
      <t>При подписании</t>
    </r>
    <r>
      <rPr>
        <b/>
        <sz val="14"/>
        <color theme="1"/>
        <rFont val="Calibri"/>
        <family val="2"/>
        <charset val="204"/>
        <scheme val="minor"/>
      </rPr>
      <t xml:space="preserve"> ОБЯЗАТЕЛЬСТВА</t>
    </r>
    <r>
      <rPr>
        <sz val="14"/>
        <color theme="1"/>
        <rFont val="Calibri"/>
        <family val="2"/>
        <charset val="204"/>
        <scheme val="minor"/>
      </rPr>
      <t xml:space="preserve"> Вас уведомили о том что, в случае просрочки выплат по обязательству, будет начисляться</t>
    </r>
  </si>
  <si>
    <r>
      <t xml:space="preserve">неустойка в соответствии со </t>
    </r>
    <r>
      <rPr>
        <b/>
        <sz val="14"/>
        <color theme="1"/>
        <rFont val="Calibri"/>
        <family val="2"/>
        <charset val="204"/>
        <scheme val="minor"/>
      </rPr>
      <t>ст.320 ГК.КР.</t>
    </r>
    <r>
      <rPr>
        <sz val="14"/>
        <color theme="1"/>
        <rFont val="Calibri"/>
        <family val="2"/>
        <charset val="204"/>
        <scheme val="minor"/>
      </rPr>
      <t xml:space="preserve">, в размере 1 (один) %  от оставшейся суммы общего долга за каждый день просрочки, от </t>
    </r>
  </si>
  <si>
    <t>Ввиду вышеизложенного Вам необходимо произвести оплату образовавшейся задолженности.</t>
  </si>
  <si>
    <r>
      <t xml:space="preserve">указанные в </t>
    </r>
    <r>
      <rPr>
        <b/>
        <sz val="14"/>
        <color theme="1"/>
        <rFont val="Calibri"/>
        <family val="2"/>
        <charset val="204"/>
        <scheme val="minor"/>
      </rPr>
      <t>АКТЕ РАССЧЕТА АРЕНДНОЙ ПЛАТЫ</t>
    </r>
    <r>
      <rPr>
        <sz val="14"/>
        <color theme="1"/>
        <rFont val="Calibri"/>
        <family val="2"/>
        <scheme val="minor"/>
      </rPr>
      <t>. Вы обязались оплатить задолженность не позднее 5 рабочих дней с момента</t>
    </r>
  </si>
  <si>
    <t>ОБЯЗАТЕЛЬСТВУ.</t>
  </si>
  <si>
    <r>
      <t xml:space="preserve">подписания акта. Также вы подписали </t>
    </r>
    <r>
      <rPr>
        <b/>
        <sz val="14"/>
        <color theme="1"/>
        <rFont val="Calibri"/>
        <family val="2"/>
        <charset val="204"/>
        <scheme val="minor"/>
      </rPr>
      <t>ОБЯЗАТЕЛЬСТВО</t>
    </r>
    <r>
      <rPr>
        <sz val="14"/>
        <color theme="1"/>
        <rFont val="Calibri"/>
        <family val="2"/>
        <charset val="204"/>
        <scheme val="minor"/>
      </rPr>
      <t xml:space="preserve"> по которому вы обязались погасить задолженность в срок до:</t>
    </r>
  </si>
  <si>
    <r>
      <t>оборудования, за каждые сутки просрочки. А также неустойка по ОБЯЗАТЕЛЬСТВУ в соответствии со</t>
    </r>
    <r>
      <rPr>
        <b/>
        <sz val="14"/>
        <color theme="1"/>
        <rFont val="Calibri"/>
        <family val="2"/>
        <charset val="204"/>
        <scheme val="minor"/>
      </rPr>
      <t xml:space="preserve"> ст.320 ГК.КР</t>
    </r>
    <r>
      <rPr>
        <sz val="14"/>
        <color theme="1"/>
        <rFont val="Calibri"/>
        <family val="2"/>
        <charset val="204"/>
        <scheme val="minor"/>
      </rPr>
      <t xml:space="preserve">., 1 (один) % от </t>
    </r>
  </si>
  <si>
    <t>действия:</t>
  </si>
  <si>
    <r>
      <t xml:space="preserve">нарушением оплаты неустоек по договору имущественного найма и с грубым нарушением оплаты неустоек по </t>
    </r>
    <r>
      <rPr>
        <b/>
        <sz val="14"/>
        <color theme="1"/>
        <rFont val="Calibri"/>
        <family val="2"/>
        <charset val="204"/>
        <scheme val="minor"/>
      </rPr>
      <t>ОБЯЗАТЕЛЬСТВУ</t>
    </r>
  </si>
  <si>
    <t>Оборудование вернули но не оплатили</t>
  </si>
  <si>
    <t>Вы не оплатили стоимость арендной платы в оговоренный срок  за пользование Имуществом. И не оплатили задолженность по</t>
  </si>
  <si>
    <t>у Вас имеется задолженность по арендной плате за использование</t>
  </si>
  <si>
    <t>будет передано в суд по месту нахождения кредитора  г. Бишкек Свердловский районный суд (по адресу ул. Ибраимова д. № 64)</t>
  </si>
  <si>
    <r>
      <t xml:space="preserve">в порядке установленном действующим законодательством КР.( договорная подсудность </t>
    </r>
    <r>
      <rPr>
        <b/>
        <sz val="14"/>
        <color theme="1"/>
        <rFont val="Calibri"/>
        <family val="2"/>
        <charset val="204"/>
        <scheme val="minor"/>
      </rPr>
      <t>Ст.34 ГПК К.Р</t>
    </r>
    <r>
      <rPr>
        <sz val="14"/>
        <color theme="1"/>
        <rFont val="Calibri"/>
        <family val="2"/>
        <charset val="204"/>
        <scheme val="minor"/>
      </rPr>
      <t>.)</t>
    </r>
  </si>
  <si>
    <t>Ввиду вышеизложенного требую от Вас незамедлительно принять решение по моей претензии!!!</t>
  </si>
  <si>
    <t>Вы не оплатили стоимость арендной платы в оговоренный срок за пользование Имуществом, не оплатили задолженность по</t>
  </si>
  <si>
    <t>Также предупреждены, что в случае неуплаты Вами долга, дело о взыскании задолженности со всеми штрафными начислениями,</t>
  </si>
  <si>
    <t>произвести оплату вашей задолженности и неустоек.</t>
  </si>
  <si>
    <t>Сумма долга</t>
  </si>
  <si>
    <t>Неустойка по ОБЯЗАТЕЛЬСТВУ 1 (один) %  от оставшейся суммы общего долга в день</t>
  </si>
  <si>
    <t>Ед. Изм.</t>
  </si>
  <si>
    <t>оставшейся суммы долга за каждый день просрочки.</t>
  </si>
  <si>
    <t>Требую до</t>
  </si>
  <si>
    <t>будут реализованы следующие действия:</t>
  </si>
  <si>
    <t>В случае неуплаты до указанного срока вышеуказанной денежной суммы в отношении Вас будут реализованы следующие</t>
  </si>
  <si>
    <t>пользование Имуществом Арендодателю, а также вернуть ему оборудование в порядке и сроки, указанные в Приложении №1</t>
  </si>
  <si>
    <t xml:space="preserve">1.2. Арендодатель и Арендатор определяют: наименование переданного Имущества, дату и время выдачи, дату и время возврата, </t>
  </si>
  <si>
    <t>1.4. Арендатор ознакомлен, Арендодателем, с правилами эксплуатации и хранения Имущества, соблюдением правил техники</t>
  </si>
  <si>
    <t>Арендодатель</t>
  </si>
  <si>
    <t>передает Арендатору следующее имущество и вместе они определили (оговорили) стоимость арендной оплаты и сроки возврата Имущества:</t>
  </si>
  <si>
    <t>2. В случае досрочного возврата имущества Арендатору возвращается сумма за неиспользованное время проката Имущества.</t>
  </si>
  <si>
    <t xml:space="preserve">При этом в случае </t>
  </si>
  <si>
    <t>5.  Настоящее Приложение составлено в 2-ух экземплярах, имеющих одинаковую юридическую силу, по одному для каждой из сторон.</t>
  </si>
  <si>
    <t>месяцев\дней</t>
  </si>
  <si>
    <t>00</t>
  </si>
  <si>
    <t>Купрей А. А.</t>
  </si>
  <si>
    <t>Депозит:</t>
  </si>
  <si>
    <t>даю настоящее обязательство И.П.</t>
  </si>
  <si>
    <t>Путем внесения наличных денег в кассу И.П.</t>
  </si>
  <si>
    <t>В этой связи согласно пункту 2.2. Договора аренды, за</t>
  </si>
  <si>
    <t>Исполнительный документ будет незамедлительно направлен судебному исполнителю для возбуждения исполнительного</t>
  </si>
  <si>
    <t>производства, действия которого будут направленны на:</t>
  </si>
  <si>
    <t xml:space="preserve"> оплатить задолженность</t>
  </si>
  <si>
    <t>и вернуть Имущество в пятидневный срок.</t>
  </si>
  <si>
    <t>Вас административных и уголовных дел.</t>
  </si>
  <si>
    <t>с другой стороны, а вместе именуемые «Стороны», заключили настоящий акт к Договору аренды оборудования о нижеследующем:</t>
  </si>
  <si>
    <t xml:space="preserve">Ф.И.О. </t>
  </si>
  <si>
    <t>ХХХ</t>
  </si>
  <si>
    <t>ХХХХХ</t>
  </si>
  <si>
    <t>ХХХХ</t>
  </si>
  <si>
    <t>ХХХХ ХХХ ХХХХХ</t>
  </si>
  <si>
    <t>МКК</t>
  </si>
  <si>
    <t>впечатление не хотелось бы думать о нем что то дурное. Но если не найду, придется</t>
  </si>
  <si>
    <t xml:space="preserve">Добрый день. Меня зовут </t>
  </si>
  <si>
    <t>Я занимаюсь</t>
  </si>
  <si>
    <t>прокатом строительного оборудования и инструмента.</t>
  </si>
  <si>
    <t xml:space="preserve">Заранее приношу свои извинения за беспокойство, хотел у Вас спросить - знаком ли Вам </t>
  </si>
  <si>
    <t xml:space="preserve">гражданин Кыргызской Республики – </t>
  </si>
  <si>
    <t>года рождения?</t>
  </si>
  <si>
    <t>Дело в том, что я ищу его родственников или знакомых, в связи с тем, что он уже более</t>
  </si>
  <si>
    <t xml:space="preserve">недели не отвечает на телефонные звонки и сообщения в WhatsApp.  </t>
  </si>
  <si>
    <t>всегда производил впечатление порядочного,</t>
  </si>
  <si>
    <t>честного и достойного человека - не хотелось бы допускать о нем каких-то негативных</t>
  </si>
  <si>
    <t>мыслей. Он неоднократно брал у меня в аренду оборудование и к нему ни разу не</t>
  </si>
  <si>
    <t xml:space="preserve">возникало никаких претензий или нареканий. </t>
  </si>
  <si>
    <t xml:space="preserve">Однако </t>
  </si>
  <si>
    <t>между мной и гражданином Кыргызской Республики</t>
  </si>
  <si>
    <t>года рождения был</t>
  </si>
  <si>
    <t xml:space="preserve">заключён официальный договор аренды оборудования. Им было взято на прокат </t>
  </si>
  <si>
    <t xml:space="preserve">следующее оборудование: </t>
  </si>
  <si>
    <t xml:space="preserve">Взятое </t>
  </si>
  <si>
    <t xml:space="preserve"> года строительное оборудование до сих пор не сдано.</t>
  </si>
  <si>
    <t>На сегодняшний день задолженность по арендной плате составляет</t>
  </si>
  <si>
    <t>составлен соответствующий Акт расчета. Он брал оборудование на несколько дней, но</t>
  </si>
  <si>
    <t>пропал и не выходил на связь.</t>
  </si>
  <si>
    <t xml:space="preserve">Я сдаю строительное оборудование в прокат людям чтобы они могли произвести </t>
  </si>
  <si>
    <t xml:space="preserve">различные строительно- монтажные работы и тем самым помогаю им чтобы они могли </t>
  </si>
  <si>
    <t>зарабатывать и обеспечивать свои семьи, или произвести у себя дома ремонт не неся при</t>
  </si>
  <si>
    <t xml:space="preserve">этом дополнительных ощутимых затрат на приобретение дорогостоящих строительных </t>
  </si>
  <si>
    <t xml:space="preserve">инструментов и оборудования, которые нужны на кратковременный период проведения </t>
  </si>
  <si>
    <t xml:space="preserve">работ и в дальнейшем использоваться не будут. </t>
  </si>
  <si>
    <t xml:space="preserve">Я всегда стараюсь войти в положение своих клиентов, даю им отсрочку по оплате или </t>
  </si>
  <si>
    <t xml:space="preserve">даю им возможность производить оплату в рассрочку без начисления штрафных </t>
  </si>
  <si>
    <t xml:space="preserve">санкций, делаю дополнительные скидки. Но когда человек постоянно обещает привезти </t>
  </si>
  <si>
    <t>оборудование и оплатить стоимость проката, а сам и при этом пропадает и элементарно</t>
  </si>
  <si>
    <t xml:space="preserve">не выходит на связь - то это вызывает недоумение и возмущение.
</t>
  </si>
  <si>
    <t xml:space="preserve">Огромная просьба, если вы его знаете и обладаете какими-то сведениями о нем, сообщить </t>
  </si>
  <si>
    <t xml:space="preserve">мне информацию о нем или передать ему чтобы он связался со мной. Мой номер </t>
  </si>
  <si>
    <t xml:space="preserve">телефона </t>
  </si>
  <si>
    <t xml:space="preserve">Я хочу решить всё мирным путем без обращения в </t>
  </si>
  <si>
    <t xml:space="preserve">соответствующие инстанции и размещения в социальных сетях информации (в частности – </t>
  </si>
  <si>
    <t>отразится его репутации. Но если он будет и дальше скрываться я буду вынужден</t>
  </si>
  <si>
    <t>прибегнуть к вышеизложенным мерам, а это чревато для него дополнительными</t>
  </si>
  <si>
    <t>немалыми расходами и подрывом его авторитета.</t>
  </si>
  <si>
    <t>Огромное спасибо за Ваше внимание и надеюсь на Ваше понимание!!!</t>
  </si>
  <si>
    <t>С уважением, Александр.</t>
  </si>
  <si>
    <t>ПИСЬМО ДЛЯ РОДСТВЕННИКОВ И ДРУЗЕЙ № 2</t>
  </si>
  <si>
    <t>ПИСЬМО ДЛЯ РОДСТВЕННИКОВ И ДРУЗЕЙ № 1</t>
  </si>
  <si>
    <r>
      <t xml:space="preserve">занесение его данных в </t>
    </r>
    <r>
      <rPr>
        <b/>
        <sz val="12"/>
        <color theme="1"/>
        <rFont val="Times New Roman"/>
        <family val="1"/>
        <charset val="204"/>
      </rPr>
      <t>«Общереспубликанский Черный список»)</t>
    </r>
    <r>
      <rPr>
        <sz val="12"/>
        <color theme="1"/>
        <rFont val="Times New Roman"/>
        <family val="1"/>
        <charset val="204"/>
      </rPr>
      <t xml:space="preserve">, которая негативно </t>
    </r>
  </si>
  <si>
    <t xml:space="preserve">просрочке арендного платежа и не оплатили задолженность по ОБЯЗАТЕЛЬСТВУ. </t>
  </si>
  <si>
    <t>Чуйская область г. Бишкек</t>
  </si>
  <si>
    <t>ул. ХХХХХ</t>
  </si>
  <si>
    <t>2. Общая стоимость оказанных услуг составила</t>
  </si>
  <si>
    <t>5. Стороны считают условия Договора аренды оборудования выполненными и претензий друг к другу не имеют</t>
  </si>
  <si>
    <t>Реально нанесенный ущерб имуществу</t>
  </si>
  <si>
    <t>3. Арендатор обязуется оплатить образовавшуюся задолженность в размере</t>
  </si>
  <si>
    <t>Задолженность</t>
  </si>
  <si>
    <t>пытался писать смс, через различные соц. Сети все бесполезно. А по прошествии</t>
  </si>
  <si>
    <t>на новый срок. Через два три дня я пытался дозвонится до данного гражданина</t>
  </si>
  <si>
    <t>ПРЕТЕНЗИЯ О ЗАДОЛЖЕННОСТИ</t>
  </si>
  <si>
    <t>ул. Лермонтова д.№ 68</t>
  </si>
  <si>
    <t>зарегистрированный по адресу город Бишкек, улица Ялтинская 56/1, действующий на основании Свидетельства о государственной</t>
  </si>
  <si>
    <t>32282661</t>
  </si>
  <si>
    <t>Форма по ГКУД</t>
  </si>
  <si>
    <t>0310002</t>
  </si>
  <si>
    <t>Унифицированная форма № КО-2</t>
  </si>
  <si>
    <t>(организация)</t>
  </si>
  <si>
    <t>(структурное подразделение)</t>
  </si>
  <si>
    <t>Номер документа</t>
  </si>
  <si>
    <t>Дата составления</t>
  </si>
  <si>
    <t>РАСХОДНЫЙ КАССОВЫЙ ОРДЕР</t>
  </si>
  <si>
    <t>Код целевого назначения</t>
  </si>
  <si>
    <t>код структурного подразделения</t>
  </si>
  <si>
    <t>корреспондирующий счет, субсчет</t>
  </si>
  <si>
    <t>код аналитического
учета</t>
  </si>
  <si>
    <t>Выдать</t>
  </si>
  <si>
    <t>(фамилия, имя, отчество)</t>
  </si>
  <si>
    <t>(прописью)</t>
  </si>
  <si>
    <t>Руководитель организации</t>
  </si>
  <si>
    <t>(должность)</t>
  </si>
  <si>
    <t>Получил</t>
  </si>
  <si>
    <t>(сумма прописью)</t>
  </si>
  <si>
    <t>"</t>
  </si>
  <si>
    <t xml:space="preserve"> г.</t>
  </si>
  <si>
    <t>Подпись</t>
  </si>
  <si>
    <t>По</t>
  </si>
  <si>
    <t>Выдал кассир</t>
  </si>
  <si>
    <t>паспорту</t>
  </si>
  <si>
    <t>Сумма,
сом  тыйын</t>
  </si>
  <si>
    <t>Утверждена постановлением нацкомитета Кыргызской республики от 07.04.2003 №4</t>
  </si>
  <si>
    <t>(наименование, номер, дата и место выдачи документа, удостоверяющего личность получателя)</t>
  </si>
  <si>
    <t>стоимость арендной оплаты, сумму обеспечительного платежа и место возврата Имущества, в приложении №1 к  договору.</t>
  </si>
  <si>
    <t>3.1. Стоимость услуг проката и обеспечительный платеж отражены в Приложении №1 к настоящему Договору.</t>
  </si>
  <si>
    <t>в Приложении №1, составляется Акт расчета арендной платы за пользование Имуществом.</t>
  </si>
  <si>
    <t>обеспечительного платежа  в соответствии с Приложением №1 к настоящему договору. В случае увеличения сроков оговоренных</t>
  </si>
  <si>
    <t xml:space="preserve">3. Арендатор предоставляет Арендодателю обеспечительный платеж в размере </t>
  </si>
  <si>
    <t>платежа определенную сумму на покрытие реально нанесённого ущерба.</t>
  </si>
  <si>
    <t>ненадлежащего выполнения Арендатором своих обязательств по настоящему Договору, Арендодатель вправе вычесть из суммы обеспечительного</t>
  </si>
  <si>
    <t>Арендатору в момент возврата Имущества Арендодателю.</t>
  </si>
  <si>
    <t xml:space="preserve">4. При надлежащим исполнении Арендатором своих обязательств по настоящему Договору, сумма обеспечительного платежа возвращается </t>
  </si>
  <si>
    <t>Арендная оплата и обеспечительный платеж .</t>
  </si>
  <si>
    <t>Арендатором Арендодателю или путем перечисления суммы на расчетный счет Арендодателя.</t>
  </si>
  <si>
    <t>1. Обеспечительный платеж взимается на момент заключения настоящего приложения, путем передачи наличными денежных средств,</t>
  </si>
  <si>
    <t>Сумма  обеспечительного платежа</t>
  </si>
  <si>
    <t xml:space="preserve">4. Настоящим Арендодатель подтверждает получение от Арендатора суммы обеспечительного платежа в размере </t>
  </si>
  <si>
    <t xml:space="preserve"> Обеспечительный платеж</t>
  </si>
  <si>
    <t>Возврат</t>
  </si>
  <si>
    <t>0 706 147 688</t>
  </si>
  <si>
    <t>Кыргызское</t>
  </si>
  <si>
    <t>часов находясь в офисе</t>
  </si>
  <si>
    <t xml:space="preserve"> по прокату строительного инструмента расположенного по адресу</t>
  </si>
  <si>
    <t>сут.  По прошествии срока</t>
  </si>
  <si>
    <t>Предприниматель</t>
  </si>
  <si>
    <t>Филиал №</t>
  </si>
  <si>
    <t xml:space="preserve">оценивает размер  реально нанесённого ущерба в размере: </t>
  </si>
  <si>
    <t>Номер                                                 документа</t>
  </si>
  <si>
    <t>ОКПО:</t>
  </si>
  <si>
    <t>Здравствуйте!!!  Опубликуйте пожалуйста!!!  МОШЕННИК!!!</t>
  </si>
  <si>
    <t>ФИО:</t>
  </si>
  <si>
    <t>ТЕКСТ:</t>
  </si>
  <si>
    <t>Год Рождения:</t>
  </si>
  <si>
    <t>WhatsApp:</t>
  </si>
  <si>
    <t>Адрес по прописке:</t>
  </si>
  <si>
    <t>Адрес проживания:</t>
  </si>
  <si>
    <t>Что взял:</t>
  </si>
  <si>
    <t xml:space="preserve">Когда взял: </t>
  </si>
  <si>
    <t>Вернул\не вернул:</t>
  </si>
  <si>
    <t>Задолженность на дату:</t>
  </si>
  <si>
    <t>Дополнительные сведения:</t>
  </si>
  <si>
    <t>Обязательство - есть\нет:</t>
  </si>
  <si>
    <t>Профиль INSTAGRAM:</t>
  </si>
  <si>
    <t>Профиль FACEBOOK:</t>
  </si>
  <si>
    <t>Профиль Одноклассники:</t>
  </si>
  <si>
    <t>Профиль VK:</t>
  </si>
  <si>
    <t>Пункт Проката:</t>
  </si>
  <si>
    <t>#</t>
  </si>
  <si>
    <t xml:space="preserve"> Что обещал, когда обещал: </t>
  </si>
  <si>
    <t>Для публикациив соц. сетях хештеги</t>
  </si>
  <si>
    <t>Дата Обязательство:</t>
  </si>
  <si>
    <t>Дата Сегодня:</t>
  </si>
  <si>
    <t>Обязательство:</t>
  </si>
  <si>
    <t>Сегодня:</t>
  </si>
  <si>
    <t>ХХХХ ХХХХ ХХХХ</t>
  </si>
  <si>
    <t>Индивидуальный предприниматель</t>
  </si>
  <si>
    <t>работаю: И.П. по прокату строй.</t>
  </si>
  <si>
    <t>№ ID 1706490 МKK 211041 от 05.06.2020</t>
  </si>
  <si>
    <t xml:space="preserve">*Доброе время суток* </t>
  </si>
  <si>
    <t>Вас беспокоят с пункта проката строительного оборудования *LEVEL*</t>
  </si>
  <si>
    <t>По адресу: с. Лебединовка ул. Лермонтова дом № 68</t>
  </si>
  <si>
    <t>Вы брали у нас: -----</t>
  </si>
  <si>
    <t>Информирую Вас что депозит закончился</t>
  </si>
  <si>
    <t>У Вас образовалась задолженность: -------</t>
  </si>
  <si>
    <t>*РАБОЧИЙ ГРАФИК*</t>
  </si>
  <si>
    <t xml:space="preserve">С понедельника по пятницу </t>
  </si>
  <si>
    <t xml:space="preserve">Суббота </t>
  </si>
  <si>
    <t>Воскресенье</t>
  </si>
  <si>
    <t>*ВЫХОДНОЙ*</t>
  </si>
  <si>
    <t>ОБЕД</t>
  </si>
  <si>
    <t>*С 12:50 по 13:30*</t>
  </si>
  <si>
    <t>каждый день</t>
  </si>
  <si>
    <t>ЛЕРМОНТОВА 68</t>
  </si>
  <si>
    <t xml:space="preserve">Вас беспокоят с пункта проката строительного оборудования *КЫРГЫЗПРОКАТ* </t>
  </si>
  <si>
    <t>По адресу: Куттубаева 26а/3</t>
  </si>
  <si>
    <t>Вы брали у нас: ------</t>
  </si>
  <si>
    <t>Информирую Вас, что депозит закончился</t>
  </si>
  <si>
    <t>У Вас образовалась задолженность: ------</t>
  </si>
  <si>
    <t>КЫРГЫЗ ПРОКАТ</t>
  </si>
  <si>
    <t xml:space="preserve">Вас беспокоят с пункта проката строительного оборудования *ПИШПЕК ПРОКАТ* </t>
  </si>
  <si>
    <t>По адресу: ВОРОВСКОГО 1\3</t>
  </si>
  <si>
    <t>У Вас образовалась задолженность:------</t>
  </si>
  <si>
    <t>ПИШПЕК ПРОКАТ</t>
  </si>
  <si>
    <t>Когда Вы планируете сдать оборудование?</t>
  </si>
  <si>
    <t>Сколько Вы еще планируете пользоваться оборудованием?</t>
  </si>
  <si>
    <t>*НАПОМИНАНИЕ*</t>
  </si>
  <si>
    <t>*ОПОВЕЩЕНИЕ*</t>
  </si>
  <si>
    <t>Назовите, пожалуйста дату, когда Вы планируете сдать оборудование.</t>
  </si>
  <si>
    <t xml:space="preserve">Обещали приехать сегодня, ----, ждём Вас. </t>
  </si>
  <si>
    <t>Сколько Вы еще планируете пользоваться оборудованием</t>
  </si>
  <si>
    <t>Когда Вы сдадите оборудование и оплатите арендную плату?</t>
  </si>
  <si>
    <t>Вежливое общение</t>
  </si>
  <si>
    <t>Не большой наезд</t>
  </si>
  <si>
    <t>Наезд</t>
  </si>
  <si>
    <t xml:space="preserve">Когда Вы оплатите арендную плату? </t>
  </si>
  <si>
    <t>Вы обещали приехать ----  и оплатить, но не приехали?</t>
  </si>
  <si>
    <t>Вы обещали приехать -----, но не приехали?</t>
  </si>
  <si>
    <t>Вы обещали оплатить в течении 2 часов?</t>
  </si>
  <si>
    <t>Когда Вы сдадите оборудование?</t>
  </si>
  <si>
    <t>Хорошо, единственное, Вам необходимо будет пополнить депозит на --- сом</t>
  </si>
  <si>
    <t>Вы можете продолжать пользоваться данным оборудованием, Единственное, Вам необходимо будет пополнять депозит, когда задолженность превысит 3000 сом.</t>
  </si>
  <si>
    <t>*ВАМ необходимо пополнить депозит.*</t>
  </si>
  <si>
    <t>Ваша задолженность растёт с каждым днём!</t>
  </si>
  <si>
    <t>Я буду вынужден занести Вас в чёрный список.</t>
  </si>
  <si>
    <t>Мне придется занести Вас в Черный список.</t>
  </si>
  <si>
    <t>Зачем Вы заставляете меня размещать Вас на всеобщее обозрение.</t>
  </si>
  <si>
    <t>Старые должники</t>
  </si>
  <si>
    <t>Я вынужден занести Вас в следующие чёрные списки INSTAGRAM FACEBOOK.</t>
  </si>
  <si>
    <t>Вы Размещены в Черном списке.</t>
  </si>
  <si>
    <t>*Для того чтобы пользоваться оборудованием далее, необходимо пополнить депозит на ---- сом.*</t>
  </si>
  <si>
    <t>Я так понимаю, сдавать оборудование оплачивать арендную плату Вы не собираетесь?</t>
  </si>
  <si>
    <t>Я так понимаю, оплачивать арендную плату Вы не собираетесь</t>
  </si>
  <si>
    <t>Звоню Вам, телефон не берете.</t>
  </si>
  <si>
    <t>Вы подписали Обязательство и обязались оплатить до -------- года.</t>
  </si>
  <si>
    <t>Также Вы подписали Акт расчета арендной платы по которому вы обязались оплатить не позднее 5 рабочих дней, прошло уже -- дней</t>
  </si>
  <si>
    <t>Если завтра, --------, Вы не оплатите, то будет начисляться неустойка</t>
  </si>
  <si>
    <t xml:space="preserve">С сегодняшнего дня мы начинаем начислять Вам неустойку. 1% по Акту расчета + 1% по Обязательству. </t>
  </si>
  <si>
    <t>*ВЫ чего ждете пока Ваша сумма вырастит для подачи иска на Вас в Суд???*</t>
  </si>
  <si>
    <t>*Вы адекватный человек?*</t>
  </si>
  <si>
    <t>https://arenda.lvl.kg/category/judgment/</t>
  </si>
  <si>
    <t>Дозвонится до Вас невозможно</t>
  </si>
  <si>
    <t>ФРАЗЫ ДЛЯ WhatsApp</t>
  </si>
  <si>
    <t>Вы вообще адекватный человек или ……..?????</t>
  </si>
  <si>
    <t>Сдайте ---- оплатите задолженность ----- сом и все ???</t>
  </si>
  <si>
    <t>Зачем Вы усугубляете себе же жизнь???</t>
  </si>
  <si>
    <t>ВЫ хотите через суд и в два раза больше???</t>
  </si>
  <si>
    <t xml:space="preserve">*ВАШ ДОЛГ НА ------ СОСТАВЛЯЕТ ---- СОМ* </t>
  </si>
  <si>
    <t xml:space="preserve">*ВАША ЗАДОЛЖЕННОСТЬ НА ------ СОСТАВЛЯЕТ ---- СОМ* </t>
  </si>
  <si>
    <t>*НАПОМИНАНИЕ СРОК ПОГАШЕНИЯ ДО -------*</t>
  </si>
  <si>
    <t>*Я вынужден обновить Ваши Данные в следующих чёрных списках INSTAGRAM FACEBOOK.*</t>
  </si>
  <si>
    <t>*Я буду вынужден обновить Ваши данные в чёрных списках.*</t>
  </si>
  <si>
    <t>*Сколько Вы еще планируете пользоваться оборудованием?*</t>
  </si>
  <si>
    <t>*Когда Вы планируете сдать оборудование?*</t>
  </si>
  <si>
    <t>ОК договорились ждем ВАС -------</t>
  </si>
  <si>
    <t>*ВАМ НЕОБХОДИМО ПОПОЛНИТЬ ДЕПОЗИТ.*</t>
  </si>
  <si>
    <t>*Вы обещали приехать -----, но не приехали?</t>
  </si>
  <si>
    <t>8. ПЕРСОНАЛЬНЫЕ ДАННЫЕ</t>
  </si>
  <si>
    <t>информации, носящий рекламный характер.</t>
  </si>
  <si>
    <t>рождения, паспорта, фотографий в черных списках на сайтах не надежных арендаторов.</t>
  </si>
  <si>
    <r>
      <rPr>
        <b/>
        <sz val="16"/>
        <color theme="1"/>
        <rFont val="Calibri"/>
        <family val="2"/>
        <charset val="204"/>
        <scheme val="minor"/>
      </rPr>
      <t>8.1.</t>
    </r>
    <r>
      <rPr>
        <b/>
        <u/>
        <sz val="16"/>
        <color theme="1"/>
        <rFont val="Calibri"/>
        <family val="2"/>
        <charset val="204"/>
        <scheme val="minor"/>
      </rPr>
      <t xml:space="preserve"> Арендатор подтверждает, что он дееспособен и не страдает заболеваниями, препятствующими осознать суть Договора.</t>
    </r>
  </si>
  <si>
    <t>8.2. При подписании данного договора Арендатор дает согласие на хранение и обработку, своих персональных данных, получение</t>
  </si>
  <si>
    <t>8.4. Публикация может осуществляться на следующих интернет-ресурсах ( level.kg, kyrgyzprokat.kg, pishpekprokat.kg, instagram.com, facebook.com. )</t>
  </si>
  <si>
    <t>8.5. Стоимость размещения информации на каждой площадке составляет 500 (пятьсот) сом.</t>
  </si>
  <si>
    <t xml:space="preserve">8.3. Арендатор дает согласие в случае возникновения долговых обязательств перед Арендодателем, на публикацию ФИО, даты </t>
  </si>
  <si>
    <t>*С 8:00 до 18:00*(семь часов вечера)</t>
  </si>
  <si>
    <t>*С 8:00 до 18:00*(шесть часов вечера)</t>
  </si>
  <si>
    <t>Согласно пункту 8.3. Договора аренды оборудования, Вы будете добавлены в общий черный список недобросовестных</t>
  </si>
  <si>
    <t>22.12.2006 года рождения, паспорт: ID3219844 выдан MKK 218011 от 12.02.2023 г.</t>
  </si>
  <si>
    <t>регистрации индивидуального предпринимателя по Свердловскому району г. Бишкек № 003-2024-169-5930 от 08.08.2024</t>
  </si>
  <si>
    <t>МКК 218011 от 12.02.2023</t>
  </si>
  <si>
    <t>ОАО "МБАНК" ФИЛИАЛ "МБАНК ПЛАЗА"</t>
  </si>
  <si>
    <t>"1033220001521202"</t>
  </si>
  <si>
    <t>Скидка</t>
  </si>
  <si>
    <t>+996 (552) 727 607</t>
  </si>
  <si>
    <t xml:space="preserve"> Зинченко Михаил Александрович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</si>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</sst>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&quot;сом&quot;_-;\-* #,##0.00\ &quot;сом&quot;_-;_-* &quot;-&quot;??\ &quot;сом&quot;_-;_-@_-"/>
    <numFmt numFmtId="165" formatCode="#,##0.00\ [$сом-440]"/>
    <numFmt numFmtId="166" formatCode="h:mm;@"/>
    <numFmt numFmtId="167" formatCode="#,##0.00\ &quot;сом&quot;"/>
    <numFmt numFmtId="168" formatCode="[$-419]mmmm;@"/>
    <numFmt numFmtId="169" formatCode="mmmm"/>
    <numFmt numFmtId="170" formatCode="#,##0\ &quot;сом&quot;"/>
    <numFmt numFmtId="171" formatCode="[$-F400]h:mm:ss\ AM/PM"/>
  </numFmts>
  <fonts count="7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u/>
      <sz val="16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sz val="18"/>
      <color rgb="FFFF0000"/>
      <name val="Calibri"/>
      <family val="2"/>
      <scheme val="minor"/>
    </font>
    <font>
      <b/>
      <sz val="18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7"/>
      <name val="Times New Roman"/>
      <family val="1"/>
      <charset val="204"/>
    </font>
    <font>
      <b/>
      <sz val="14"/>
      <name val="Times New Roman"/>
      <family val="1"/>
      <charset val="204"/>
    </font>
    <font>
      <sz val="1"/>
      <name val="Times New Roman"/>
      <family val="1"/>
      <charset val="204"/>
    </font>
    <font>
      <sz val="11"/>
      <color theme="1"/>
      <name val="Wide Latin"/>
      <family val="1"/>
    </font>
    <font>
      <b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0.8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 val="double"/>
      <sz val="16"/>
      <color theme="1"/>
      <name val="Calibri"/>
      <family val="2"/>
      <charset val="204"/>
      <scheme val="minor"/>
    </font>
    <font>
      <u/>
      <sz val="14"/>
      <color theme="1"/>
      <name val="Times New Roman"/>
      <family val="1"/>
      <charset val="204"/>
    </font>
    <font>
      <b/>
      <sz val="16"/>
      <color theme="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rgb="FFC0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6"/>
      <name val="Times New Roman"/>
      <family val="1"/>
      <charset val="204"/>
    </font>
    <font>
      <b/>
      <sz val="6"/>
      <name val="Times New Roman"/>
      <family val="1"/>
      <charset val="204"/>
    </font>
    <font>
      <sz val="11"/>
      <color theme="0"/>
      <name val="Calibri"/>
      <family val="2"/>
      <scheme val="minor"/>
    </font>
    <font>
      <b/>
      <sz val="20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horizontal="center"/>
    </xf>
    <xf numFmtId="0" fontId="69" fillId="0" borderId="0" applyNumberFormat="0" applyFill="0" applyBorder="0" applyAlignment="0" applyProtection="0"/>
    <xf numFmtId="43" fontId="73" fillId="0" borderId="0" applyFont="0" applyFill="0" applyBorder="0" applyAlignment="0" applyProtection="0"/>
    <xf numFmtId="9" fontId="73" fillId="0" borderId="0" applyFont="0" applyFill="0" applyBorder="0" applyAlignment="0" applyProtection="0"/>
  </cellStyleXfs>
  <cellXfs count="852">
    <xf numFmtId="0" fontId="0" fillId="0" borderId="0" xfId="0"/>
    <xf numFmtId="0" fontId="3" fillId="0" borderId="0" xfId="0" applyFont="1"/>
    <xf numFmtId="0" fontId="6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1" fillId="0" borderId="11" xfId="0" applyFont="1" applyBorder="1"/>
    <xf numFmtId="0" fontId="2" fillId="0" borderId="0" xfId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top"/>
    </xf>
    <xf numFmtId="0" fontId="22" fillId="0" borderId="0" xfId="0" applyFont="1" applyAlignment="1">
      <alignment horizontal="center"/>
    </xf>
    <xf numFmtId="0" fontId="23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vertical="top"/>
    </xf>
    <xf numFmtId="0" fontId="25" fillId="0" borderId="0" xfId="0" applyFont="1"/>
    <xf numFmtId="0" fontId="28" fillId="0" borderId="0" xfId="0" applyFont="1" applyAlignment="1">
      <alignment horizontal="center"/>
    </xf>
    <xf numFmtId="1" fontId="2" fillId="3" borderId="4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/>
    <xf numFmtId="1" fontId="12" fillId="0" borderId="0" xfId="0" applyNumberFormat="1" applyFont="1"/>
    <xf numFmtId="1" fontId="2" fillId="3" borderId="6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164" fontId="0" fillId="0" borderId="0" xfId="0" applyNumberFormat="1"/>
    <xf numFmtId="164" fontId="12" fillId="0" borderId="0" xfId="0" applyNumberFormat="1" applyFont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32" fillId="0" borderId="0" xfId="0" applyFont="1"/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vertical="center"/>
    </xf>
    <xf numFmtId="0" fontId="35" fillId="0" borderId="0" xfId="0" applyFont="1"/>
    <xf numFmtId="0" fontId="35" fillId="0" borderId="11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20" fontId="35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20" fontId="36" fillId="0" borderId="0" xfId="0" applyNumberFormat="1" applyFont="1" applyAlignment="1">
      <alignment horizontal="left" vertical="center"/>
    </xf>
    <xf numFmtId="166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/>
    </xf>
    <xf numFmtId="0" fontId="35" fillId="0" borderId="11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46" fillId="0" borderId="0" xfId="0" applyFont="1"/>
    <xf numFmtId="14" fontId="0" fillId="0" borderId="0" xfId="0" applyNumberFormat="1"/>
    <xf numFmtId="14" fontId="2" fillId="0" borderId="1" xfId="0" applyNumberFormat="1" applyFont="1" applyBorder="1" applyAlignment="1">
      <alignment horizontal="center" vertical="center"/>
    </xf>
    <xf numFmtId="14" fontId="47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14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top"/>
    </xf>
    <xf numFmtId="0" fontId="4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50" fillId="0" borderId="0" xfId="0" applyNumberFormat="1" applyFont="1" applyAlignment="1">
      <alignment horizontal="center" vertical="center"/>
    </xf>
    <xf numFmtId="1" fontId="50" fillId="0" borderId="0" xfId="0" applyNumberFormat="1" applyFont="1" applyAlignment="1">
      <alignment horizontal="left" vertical="center"/>
    </xf>
    <xf numFmtId="165" fontId="3" fillId="0" borderId="1" xfId="0" applyNumberFormat="1" applyFont="1" applyBorder="1" applyAlignment="1">
      <alignment horizontal="center"/>
    </xf>
    <xf numFmtId="0" fontId="55" fillId="0" borderId="0" xfId="0" applyFont="1" applyAlignment="1">
      <alignment horizontal="center" vertical="center"/>
    </xf>
    <xf numFmtId="165" fontId="56" fillId="0" borderId="0" xfId="0" applyNumberFormat="1" applyFont="1" applyAlignment="1">
      <alignment horizontal="center"/>
    </xf>
    <xf numFmtId="0" fontId="46" fillId="0" borderId="0" xfId="0" applyFont="1" applyAlignment="1">
      <alignment horizontal="left"/>
    </xf>
    <xf numFmtId="49" fontId="46" fillId="0" borderId="0" xfId="0" applyNumberFormat="1" applyFont="1" applyAlignment="1">
      <alignment horizontal="left"/>
    </xf>
    <xf numFmtId="14" fontId="46" fillId="0" borderId="0" xfId="0" applyNumberFormat="1" applyFont="1" applyAlignment="1">
      <alignment horizontal="left" vertic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5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14" fontId="46" fillId="0" borderId="0" xfId="0" applyNumberFormat="1" applyFont="1" applyAlignment="1">
      <alignment horizontal="center"/>
    </xf>
    <xf numFmtId="0" fontId="46" fillId="0" borderId="35" xfId="0" applyFont="1" applyBorder="1" applyAlignment="1">
      <alignment horizontal="left"/>
    </xf>
    <xf numFmtId="167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46" fillId="0" borderId="0" xfId="0" applyFont="1" applyAlignment="1">
      <alignment horizontal="left" vertical="center"/>
    </xf>
    <xf numFmtId="0" fontId="9" fillId="2" borderId="32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14" fontId="36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167" fontId="12" fillId="0" borderId="0" xfId="0" applyNumberFormat="1" applyFont="1"/>
    <xf numFmtId="14" fontId="12" fillId="0" borderId="0" xfId="0" applyNumberFormat="1" applyFont="1"/>
    <xf numFmtId="0" fontId="60" fillId="0" borderId="0" xfId="0" applyFont="1"/>
    <xf numFmtId="0" fontId="60" fillId="0" borderId="0" xfId="0" applyFont="1" applyAlignment="1">
      <alignment horizontal="left"/>
    </xf>
    <xf numFmtId="14" fontId="3" fillId="0" borderId="8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0" fontId="46" fillId="0" borderId="35" xfId="0" applyFont="1" applyBorder="1"/>
    <xf numFmtId="0" fontId="46" fillId="0" borderId="51" xfId="0" applyFont="1" applyBorder="1" applyAlignment="1">
      <alignment horizontal="left"/>
    </xf>
    <xf numFmtId="0" fontId="46" fillId="0" borderId="36" xfId="0" applyFont="1" applyBorder="1" applyAlignment="1">
      <alignment horizontal="left"/>
    </xf>
    <xf numFmtId="0" fontId="46" fillId="0" borderId="46" xfId="0" applyFont="1" applyBorder="1" applyAlignment="1">
      <alignment horizontal="center"/>
    </xf>
    <xf numFmtId="0" fontId="46" fillId="0" borderId="17" xfId="0" applyFont="1" applyBorder="1" applyAlignment="1">
      <alignment horizontal="left"/>
    </xf>
    <xf numFmtId="0" fontId="46" fillId="0" borderId="17" xfId="0" applyFont="1" applyBorder="1" applyAlignment="1">
      <alignment horizontal="left" vertical="center"/>
    </xf>
    <xf numFmtId="0" fontId="46" fillId="0" borderId="35" xfId="0" applyFont="1" applyBorder="1" applyAlignment="1">
      <alignment horizontal="left" vertical="center"/>
    </xf>
    <xf numFmtId="0" fontId="12" fillId="0" borderId="35" xfId="0" applyFont="1" applyBorder="1"/>
    <xf numFmtId="0" fontId="60" fillId="0" borderId="35" xfId="0" applyFont="1" applyBorder="1" applyAlignment="1">
      <alignment horizontal="left"/>
    </xf>
    <xf numFmtId="0" fontId="46" fillId="0" borderId="17" xfId="0" applyFont="1" applyBorder="1"/>
    <xf numFmtId="167" fontId="46" fillId="0" borderId="35" xfId="0" applyNumberFormat="1" applyFont="1" applyBorder="1"/>
    <xf numFmtId="0" fontId="46" fillId="0" borderId="52" xfId="0" applyFont="1" applyBorder="1" applyAlignment="1">
      <alignment horizontal="left"/>
    </xf>
    <xf numFmtId="0" fontId="46" fillId="0" borderId="13" xfId="0" applyFont="1" applyBorder="1" applyAlignment="1">
      <alignment horizontal="left"/>
    </xf>
    <xf numFmtId="0" fontId="46" fillId="0" borderId="48" xfId="0" applyFont="1" applyBorder="1" applyAlignment="1">
      <alignment horizontal="left"/>
    </xf>
    <xf numFmtId="0" fontId="60" fillId="0" borderId="35" xfId="0" applyFont="1" applyBorder="1"/>
    <xf numFmtId="0" fontId="62" fillId="0" borderId="0" xfId="0" applyFont="1"/>
    <xf numFmtId="0" fontId="12" fillId="0" borderId="17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62" fillId="0" borderId="35" xfId="0" applyFont="1" applyBorder="1"/>
    <xf numFmtId="2" fontId="2" fillId="3" borderId="6" xfId="0" applyNumberFormat="1" applyFont="1" applyFill="1" applyBorder="1" applyAlignment="1">
      <alignment horizontal="center" vertical="center" wrapText="1"/>
    </xf>
    <xf numFmtId="0" fontId="0" fillId="0" borderId="51" xfId="0" applyBorder="1"/>
    <xf numFmtId="0" fontId="0" fillId="0" borderId="36" xfId="0" applyBorder="1"/>
    <xf numFmtId="1" fontId="0" fillId="0" borderId="36" xfId="0" applyNumberFormat="1" applyBorder="1"/>
    <xf numFmtId="0" fontId="0" fillId="0" borderId="46" xfId="0" applyBorder="1"/>
    <xf numFmtId="0" fontId="0" fillId="0" borderId="17" xfId="0" applyBorder="1"/>
    <xf numFmtId="0" fontId="0" fillId="0" borderId="35" xfId="0" applyBorder="1"/>
    <xf numFmtId="0" fontId="0" fillId="0" borderId="52" xfId="0" applyBorder="1"/>
    <xf numFmtId="0" fontId="0" fillId="0" borderId="13" xfId="0" applyBorder="1"/>
    <xf numFmtId="1" fontId="0" fillId="0" borderId="13" xfId="0" applyNumberFormat="1" applyBorder="1"/>
    <xf numFmtId="0" fontId="0" fillId="0" borderId="48" xfId="0" applyBorder="1"/>
    <xf numFmtId="164" fontId="0" fillId="0" borderId="46" xfId="0" applyNumberFormat="1" applyBorder="1"/>
    <xf numFmtId="164" fontId="0" fillId="0" borderId="35" xfId="0" applyNumberFormat="1" applyBorder="1"/>
    <xf numFmtId="164" fontId="0" fillId="0" borderId="48" xfId="0" applyNumberFormat="1" applyBorder="1"/>
    <xf numFmtId="0" fontId="2" fillId="3" borderId="0" xfId="0" applyFont="1" applyFill="1"/>
    <xf numFmtId="0" fontId="46" fillId="3" borderId="0" xfId="0" applyFont="1" applyFill="1"/>
    <xf numFmtId="0" fontId="64" fillId="0" borderId="0" xfId="0" applyFont="1"/>
    <xf numFmtId="0" fontId="1" fillId="0" borderId="11" xfId="0" applyFon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11" xfId="0" applyBorder="1"/>
    <xf numFmtId="166" fontId="2" fillId="0" borderId="1" xfId="0" applyNumberFormat="1" applyFont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0" fontId="35" fillId="0" borderId="53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167" fontId="35" fillId="0" borderId="35" xfId="0" applyNumberFormat="1" applyFont="1" applyBorder="1" applyAlignment="1">
      <alignment horizontal="left" vertical="center"/>
    </xf>
    <xf numFmtId="0" fontId="18" fillId="0" borderId="0" xfId="0" applyFont="1"/>
    <xf numFmtId="0" fontId="65" fillId="0" borderId="0" xfId="0" applyFont="1"/>
    <xf numFmtId="0" fontId="27" fillId="3" borderId="0" xfId="0" applyFont="1" applyFill="1" applyAlignment="1">
      <alignment horizontal="right"/>
    </xf>
    <xf numFmtId="0" fontId="24" fillId="3" borderId="11" xfId="0" applyFont="1" applyFill="1" applyBorder="1"/>
    <xf numFmtId="0" fontId="24" fillId="3" borderId="53" xfId="0" applyFont="1" applyFill="1" applyBorder="1"/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 vertical="top"/>
    </xf>
    <xf numFmtId="0" fontId="25" fillId="3" borderId="0" xfId="0" applyFont="1" applyFill="1" applyAlignment="1">
      <alignment horizontal="right"/>
    </xf>
    <xf numFmtId="0" fontId="25" fillId="3" borderId="0" xfId="0" applyFont="1" applyFill="1" applyAlignment="1">
      <alignment horizontal="left"/>
    </xf>
    <xf numFmtId="0" fontId="30" fillId="3" borderId="0" xfId="0" applyFont="1" applyFill="1" applyAlignment="1">
      <alignment vertical="top"/>
    </xf>
    <xf numFmtId="0" fontId="25" fillId="3" borderId="11" xfId="0" applyFont="1" applyFill="1" applyBorder="1"/>
    <xf numFmtId="0" fontId="25" fillId="3" borderId="3" xfId="0" applyFont="1" applyFill="1" applyBorder="1"/>
    <xf numFmtId="0" fontId="28" fillId="3" borderId="0" xfId="0" applyFont="1" applyFill="1" applyAlignment="1">
      <alignment horizontal="center"/>
    </xf>
    <xf numFmtId="0" fontId="25" fillId="3" borderId="11" xfId="0" applyFont="1" applyFill="1" applyBorder="1" applyAlignment="1">
      <alignment horizontal="center"/>
    </xf>
    <xf numFmtId="0" fontId="24" fillId="3" borderId="0" xfId="0" applyFont="1" applyFill="1" applyAlignment="1">
      <alignment horizontal="right"/>
    </xf>
    <xf numFmtId="0" fontId="24" fillId="3" borderId="0" xfId="0" applyFont="1" applyFill="1"/>
    <xf numFmtId="0" fontId="24" fillId="0" borderId="0" xfId="0" applyFont="1"/>
    <xf numFmtId="0" fontId="66" fillId="3" borderId="0" xfId="0" applyFont="1" applyFill="1"/>
    <xf numFmtId="0" fontId="66" fillId="0" borderId="0" xfId="0" applyFont="1"/>
    <xf numFmtId="49" fontId="24" fillId="3" borderId="0" xfId="0" applyNumberFormat="1" applyFont="1" applyFill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166" fontId="10" fillId="2" borderId="15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3" fillId="0" borderId="15" xfId="0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11" xfId="0" applyFont="1" applyFill="1" applyBorder="1" applyAlignment="1">
      <alignment vertical="center"/>
    </xf>
    <xf numFmtId="0" fontId="25" fillId="3" borderId="16" xfId="0" applyFont="1" applyFill="1" applyBorder="1"/>
    <xf numFmtId="0" fontId="25" fillId="3" borderId="0" xfId="0" applyFont="1" applyFill="1"/>
    <xf numFmtId="0" fontId="1" fillId="3" borderId="0" xfId="0" applyFont="1" applyFill="1"/>
    <xf numFmtId="171" fontId="12" fillId="0" borderId="1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35" xfId="0" applyBorder="1" applyAlignment="1">
      <alignment horizontal="left"/>
    </xf>
    <xf numFmtId="167" fontId="0" fillId="0" borderId="35" xfId="0" applyNumberFormat="1" applyBorder="1" applyAlignment="1">
      <alignment horizontal="left"/>
    </xf>
    <xf numFmtId="0" fontId="67" fillId="0" borderId="0" xfId="0" applyFont="1"/>
    <xf numFmtId="0" fontId="2" fillId="0" borderId="0" xfId="0" applyFont="1" applyAlignment="1">
      <alignment vertical="center"/>
    </xf>
    <xf numFmtId="14" fontId="3" fillId="0" borderId="20" xfId="0" applyNumberFormat="1" applyFont="1" applyBorder="1" applyAlignment="1">
      <alignment vertical="center"/>
    </xf>
    <xf numFmtId="14" fontId="3" fillId="0" borderId="25" xfId="0" applyNumberFormat="1" applyFont="1" applyBorder="1" applyAlignment="1">
      <alignment vertical="center"/>
    </xf>
    <xf numFmtId="0" fontId="47" fillId="0" borderId="0" xfId="0" applyFont="1" applyAlignment="1">
      <alignment horizontal="center"/>
    </xf>
    <xf numFmtId="0" fontId="47" fillId="0" borderId="21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2" borderId="64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47" fillId="0" borderId="1" xfId="0" applyFont="1" applyBorder="1" applyAlignment="1">
      <alignment horizontal="left" vertical="center" wrapText="1"/>
    </xf>
    <xf numFmtId="0" fontId="47" fillId="0" borderId="22" xfId="0" applyFont="1" applyBorder="1" applyAlignment="1">
      <alignment horizontal="left" vertical="center" wrapText="1"/>
    </xf>
    <xf numFmtId="0" fontId="70" fillId="0" borderId="1" xfId="2" applyFont="1" applyBorder="1" applyAlignment="1">
      <alignment horizontal="left" vertical="center" wrapText="1"/>
    </xf>
    <xf numFmtId="0" fontId="47" fillId="0" borderId="30" xfId="0" applyFont="1" applyBorder="1" applyAlignment="1">
      <alignment horizontal="left" vertical="center" wrapText="1"/>
    </xf>
    <xf numFmtId="0" fontId="47" fillId="2" borderId="37" xfId="0" applyFont="1" applyFill="1" applyBorder="1" applyAlignment="1">
      <alignment horizontal="center"/>
    </xf>
    <xf numFmtId="0" fontId="47" fillId="0" borderId="22" xfId="0" applyFont="1" applyBorder="1" applyAlignment="1">
      <alignment horizontal="left" wrapText="1"/>
    </xf>
    <xf numFmtId="0" fontId="47" fillId="0" borderId="25" xfId="0" applyFont="1" applyBorder="1" applyAlignment="1">
      <alignment horizontal="left" vertical="center" wrapText="1"/>
    </xf>
    <xf numFmtId="0" fontId="47" fillId="0" borderId="65" xfId="0" applyFont="1" applyBorder="1" applyAlignment="1">
      <alignment horizontal="center" vertical="center"/>
    </xf>
    <xf numFmtId="0" fontId="47" fillId="0" borderId="6" xfId="0" applyFont="1" applyBorder="1" applyAlignment="1">
      <alignment horizontal="left" vertical="center" wrapText="1"/>
    </xf>
    <xf numFmtId="0" fontId="47" fillId="0" borderId="66" xfId="0" applyFont="1" applyBorder="1" applyAlignment="1">
      <alignment horizontal="left" vertical="center" wrapText="1"/>
    </xf>
    <xf numFmtId="0" fontId="0" fillId="0" borderId="31" xfId="0" applyBorder="1"/>
    <xf numFmtId="0" fontId="68" fillId="3" borderId="32" xfId="0" applyFont="1" applyFill="1" applyBorder="1" applyAlignment="1">
      <alignment horizontal="center"/>
    </xf>
    <xf numFmtId="0" fontId="68" fillId="3" borderId="33" xfId="0" applyFont="1" applyFill="1" applyBorder="1" applyAlignment="1">
      <alignment horizontal="center"/>
    </xf>
    <xf numFmtId="0" fontId="47" fillId="4" borderId="22" xfId="0" applyFont="1" applyFill="1" applyBorder="1" applyAlignment="1">
      <alignment horizontal="left" vertical="center" wrapText="1"/>
    </xf>
    <xf numFmtId="0" fontId="0" fillId="0" borderId="49" xfId="0" applyBorder="1" applyAlignment="1">
      <alignment horizontal="left"/>
    </xf>
    <xf numFmtId="0" fontId="0" fillId="0" borderId="50" xfId="0" applyBorder="1"/>
    <xf numFmtId="0" fontId="0" fillId="0" borderId="37" xfId="0" applyBorder="1"/>
    <xf numFmtId="0" fontId="47" fillId="2" borderId="1" xfId="0" applyFont="1" applyFill="1" applyBorder="1" applyAlignment="1">
      <alignment horizontal="left" vertical="center" wrapText="1"/>
    </xf>
    <xf numFmtId="0" fontId="47" fillId="2" borderId="22" xfId="0" applyFont="1" applyFill="1" applyBorder="1" applyAlignment="1">
      <alignment horizontal="left" vertical="center" wrapText="1"/>
    </xf>
    <xf numFmtId="0" fontId="47" fillId="0" borderId="0" xfId="0" applyFont="1"/>
    <xf numFmtId="14" fontId="45" fillId="0" borderId="0" xfId="0" applyNumberFormat="1" applyFont="1" applyAlignment="1">
      <alignment horizontal="center"/>
    </xf>
    <xf numFmtId="0" fontId="3" fillId="0" borderId="31" xfId="0" applyFont="1" applyBorder="1" applyAlignment="1">
      <alignment horizontal="center"/>
    </xf>
    <xf numFmtId="166" fontId="2" fillId="0" borderId="6" xfId="0" applyNumberFormat="1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2" fillId="3" borderId="0" xfId="0" applyFont="1" applyFill="1" applyAlignment="1">
      <alignment horizontal="left"/>
    </xf>
    <xf numFmtId="0" fontId="72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0" xfId="0" applyAlignment="1">
      <alignment horizontal="center" vertical="top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48" fillId="0" borderId="0" xfId="0" applyFont="1" applyAlignment="1">
      <alignment horizontal="center" vertical="top"/>
    </xf>
    <xf numFmtId="0" fontId="3" fillId="3" borderId="0" xfId="0" applyFont="1" applyFill="1"/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1" applyFont="1" applyProtection="1">
      <alignment horizontal="center"/>
      <protection locked="0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Alignment="1" applyProtection="1">
      <alignment horizontal="left"/>
      <protection locked="0"/>
    </xf>
    <xf numFmtId="49" fontId="3" fillId="0" borderId="13" xfId="0" applyNumberFormat="1" applyFont="1" applyBorder="1" applyAlignment="1">
      <alignment horizontal="left"/>
    </xf>
    <xf numFmtId="49" fontId="3" fillId="0" borderId="13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3" fillId="0" borderId="36" xfId="0" applyFont="1" applyBorder="1" applyAlignment="1">
      <alignment horizontal="right"/>
    </xf>
    <xf numFmtId="16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1" applyProtection="1">
      <alignment horizontal="center"/>
      <protection locked="0"/>
    </xf>
    <xf numFmtId="0" fontId="3" fillId="0" borderId="0" xfId="0" applyFont="1" applyAlignment="1">
      <alignment horizontal="right"/>
    </xf>
    <xf numFmtId="165" fontId="3" fillId="0" borderId="1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2" fillId="3" borderId="0" xfId="0" applyFont="1" applyFill="1" applyAlignment="1">
      <alignment horizontal="left"/>
    </xf>
    <xf numFmtId="167" fontId="6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2" fontId="1" fillId="0" borderId="0" xfId="3" applyNumberFormat="1" applyFont="1" applyAlignment="1">
      <alignment horizontal="left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166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7" fontId="3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0" fontId="61" fillId="0" borderId="2" xfId="0" applyFont="1" applyBorder="1" applyAlignment="1">
      <alignment horizontal="left" vertical="center"/>
    </xf>
    <xf numFmtId="0" fontId="61" fillId="0" borderId="3" xfId="0" applyFont="1" applyBorder="1" applyAlignment="1">
      <alignment horizontal="left" vertical="center"/>
    </xf>
    <xf numFmtId="0" fontId="61" fillId="0" borderId="11" xfId="0" applyFont="1" applyBorder="1" applyAlignment="1">
      <alignment horizontal="left" vertical="center"/>
    </xf>
    <xf numFmtId="0" fontId="61" fillId="0" borderId="12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1" fontId="13" fillId="0" borderId="31" xfId="0" applyNumberFormat="1" applyFont="1" applyBorder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165" fontId="61" fillId="0" borderId="3" xfId="0" applyNumberFormat="1" applyFont="1" applyBorder="1" applyAlignment="1">
      <alignment horizontal="center" vertical="center"/>
    </xf>
    <xf numFmtId="165" fontId="61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165" fontId="6" fillId="0" borderId="0" xfId="0" applyNumberFormat="1" applyFont="1" applyAlignment="1">
      <alignment horizontal="center"/>
    </xf>
    <xf numFmtId="0" fontId="0" fillId="0" borderId="8" xfId="0" applyBorder="1" applyAlignment="1">
      <alignment horizontal="center" vertical="top"/>
    </xf>
    <xf numFmtId="0" fontId="1" fillId="0" borderId="11" xfId="0" applyFont="1" applyBorder="1" applyAlignment="1">
      <alignment horizontal="center"/>
    </xf>
    <xf numFmtId="0" fontId="3" fillId="2" borderId="32" xfId="0" applyFont="1" applyFill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7" fontId="2" fillId="0" borderId="26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4" fillId="0" borderId="4" xfId="0" applyFont="1" applyBorder="1" applyAlignment="1">
      <alignment horizontal="right" vertical="center"/>
    </xf>
    <xf numFmtId="0" fontId="34" fillId="0" borderId="1" xfId="0" applyFont="1" applyBorder="1" applyAlignment="1">
      <alignment horizontal="right" vertical="center"/>
    </xf>
    <xf numFmtId="14" fontId="34" fillId="0" borderId="26" xfId="0" applyNumberFormat="1" applyFont="1" applyBorder="1" applyAlignment="1">
      <alignment horizontal="center"/>
    </xf>
    <xf numFmtId="14" fontId="34" fillId="0" borderId="27" xfId="0" applyNumberFormat="1" applyFont="1" applyBorder="1" applyAlignment="1">
      <alignment horizontal="center"/>
    </xf>
    <xf numFmtId="165" fontId="3" fillId="0" borderId="32" xfId="0" applyNumberFormat="1" applyFont="1" applyBorder="1" applyAlignment="1">
      <alignment horizontal="center" vertical="center"/>
    </xf>
    <xf numFmtId="165" fontId="3" fillId="0" borderId="33" xfId="0" applyNumberFormat="1" applyFont="1" applyBorder="1" applyAlignment="1">
      <alignment horizontal="center" vertical="center"/>
    </xf>
    <xf numFmtId="165" fontId="9" fillId="2" borderId="45" xfId="0" applyNumberFormat="1" applyFont="1" applyFill="1" applyBorder="1" applyAlignment="1">
      <alignment horizontal="center"/>
    </xf>
    <xf numFmtId="165" fontId="9" fillId="2" borderId="34" xfId="0" applyNumberFormat="1" applyFont="1" applyFill="1" applyBorder="1" applyAlignment="1">
      <alignment horizont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34" fillId="0" borderId="2" xfId="0" applyFont="1" applyBorder="1" applyAlignment="1">
      <alignment horizontal="right" vertical="center"/>
    </xf>
    <xf numFmtId="0" fontId="34" fillId="0" borderId="3" xfId="0" applyFont="1" applyBorder="1" applyAlignment="1">
      <alignment horizontal="right" vertical="center"/>
    </xf>
    <xf numFmtId="1" fontId="13" fillId="0" borderId="14" xfId="0" applyNumberFormat="1" applyFont="1" applyBorder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0" fontId="61" fillId="0" borderId="0" xfId="0" applyFont="1" applyAlignment="1">
      <alignment horizontal="left" vertical="center"/>
    </xf>
    <xf numFmtId="0" fontId="61" fillId="0" borderId="27" xfId="0" applyFont="1" applyBorder="1" applyAlignment="1">
      <alignment horizontal="left" vertical="center"/>
    </xf>
    <xf numFmtId="0" fontId="61" fillId="0" borderId="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4" fillId="0" borderId="11" xfId="0" applyFont="1" applyBorder="1" applyAlignment="1">
      <alignment horizontal="right" vertical="center"/>
    </xf>
    <xf numFmtId="0" fontId="13" fillId="0" borderId="32" xfId="0" applyFont="1" applyBorder="1" applyAlignment="1">
      <alignment horizontal="center" wrapText="1"/>
    </xf>
    <xf numFmtId="14" fontId="13" fillId="0" borderId="32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9" fontId="13" fillId="0" borderId="45" xfId="4" applyFont="1" applyBorder="1" applyAlignment="1">
      <alignment horizontal="center"/>
    </xf>
    <xf numFmtId="9" fontId="13" fillId="0" borderId="34" xfId="4" applyFont="1" applyBorder="1" applyAlignment="1">
      <alignment horizontal="center"/>
    </xf>
    <xf numFmtId="165" fontId="13" fillId="0" borderId="32" xfId="0" applyNumberFormat="1" applyFont="1" applyBorder="1" applyAlignment="1">
      <alignment horizontal="center"/>
    </xf>
    <xf numFmtId="165" fontId="13" fillId="0" borderId="33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7" fontId="9" fillId="0" borderId="13" xfId="0" applyNumberFormat="1" applyFont="1" applyBorder="1" applyAlignment="1">
      <alignment horizontal="center" vertical="center"/>
    </xf>
    <xf numFmtId="167" fontId="9" fillId="0" borderId="55" xfId="0" applyNumberFormat="1" applyFont="1" applyBorder="1" applyAlignment="1">
      <alignment horizontal="center" vertical="center"/>
    </xf>
    <xf numFmtId="165" fontId="3" fillId="0" borderId="47" xfId="0" applyNumberFormat="1" applyFont="1" applyBorder="1" applyAlignment="1">
      <alignment horizontal="center" vertical="center"/>
    </xf>
    <xf numFmtId="165" fontId="3" fillId="0" borderId="48" xfId="0" applyNumberFormat="1" applyFont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53" fillId="0" borderId="8" xfId="0" applyFont="1" applyBorder="1" applyAlignment="1">
      <alignment horizontal="center" vertical="top"/>
    </xf>
    <xf numFmtId="0" fontId="50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4" fontId="51" fillId="2" borderId="0" xfId="0" applyNumberFormat="1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167" fontId="50" fillId="0" borderId="0" xfId="0" applyNumberFormat="1" applyFont="1" applyAlignment="1">
      <alignment horizontal="center" vertical="center"/>
    </xf>
    <xf numFmtId="14" fontId="55" fillId="0" borderId="0" xfId="0" applyNumberFormat="1" applyFont="1" applyAlignment="1">
      <alignment horizontal="left" vertical="center"/>
    </xf>
    <xf numFmtId="1" fontId="50" fillId="0" borderId="0" xfId="0" applyNumberFormat="1" applyFont="1" applyAlignment="1">
      <alignment horizontal="left" vertical="center"/>
    </xf>
    <xf numFmtId="2" fontId="50" fillId="0" borderId="0" xfId="0" applyNumberFormat="1" applyFont="1" applyAlignment="1">
      <alignment horizontal="left" vertical="center"/>
    </xf>
    <xf numFmtId="14" fontId="50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1" fontId="55" fillId="0" borderId="0" xfId="0" applyNumberFormat="1" applyFont="1" applyAlignment="1">
      <alignment horizontal="left" vertical="center"/>
    </xf>
    <xf numFmtId="14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2" fillId="3" borderId="38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67" fontId="31" fillId="3" borderId="39" xfId="0" applyNumberFormat="1" applyFont="1" applyFill="1" applyBorder="1" applyAlignment="1">
      <alignment horizontal="center" vertical="center" textRotation="90" wrapText="1"/>
    </xf>
    <xf numFmtId="167" fontId="31" fillId="3" borderId="28" xfId="0" applyNumberFormat="1" applyFont="1" applyFill="1" applyBorder="1" applyAlignment="1">
      <alignment horizontal="center" vertical="center" textRotation="90" wrapText="1"/>
    </xf>
    <xf numFmtId="167" fontId="31" fillId="3" borderId="43" xfId="0" applyNumberFormat="1" applyFont="1" applyFill="1" applyBorder="1" applyAlignment="1">
      <alignment horizontal="center" vertical="center" textRotation="90" wrapText="1"/>
    </xf>
    <xf numFmtId="0" fontId="3" fillId="2" borderId="3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46" fillId="0" borderId="0" xfId="0" applyFont="1" applyAlignment="1">
      <alignment horizontal="right"/>
    </xf>
    <xf numFmtId="0" fontId="46" fillId="0" borderId="35" xfId="0" applyFont="1" applyBorder="1" applyAlignment="1">
      <alignment horizontal="right"/>
    </xf>
    <xf numFmtId="0" fontId="11" fillId="2" borderId="51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2" fontId="46" fillId="0" borderId="0" xfId="0" applyNumberFormat="1" applyFont="1" applyAlignment="1">
      <alignment horizontal="right"/>
    </xf>
    <xf numFmtId="2" fontId="46" fillId="0" borderId="35" xfId="0" applyNumberFormat="1" applyFont="1" applyBorder="1" applyAlignment="1">
      <alignment horizontal="right"/>
    </xf>
    <xf numFmtId="0" fontId="58" fillId="0" borderId="52" xfId="0" applyFont="1" applyBorder="1" applyAlignment="1">
      <alignment horizontal="center"/>
    </xf>
    <xf numFmtId="0" fontId="58" fillId="0" borderId="13" xfId="0" applyFont="1" applyBorder="1" applyAlignment="1">
      <alignment horizontal="center"/>
    </xf>
    <xf numFmtId="0" fontId="58" fillId="0" borderId="48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6" fillId="0" borderId="17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57" fillId="0" borderId="8" xfId="0" applyFont="1" applyBorder="1" applyAlignment="1">
      <alignment horizontal="center" vertical="top"/>
    </xf>
    <xf numFmtId="0" fontId="57" fillId="0" borderId="54" xfId="0" applyFont="1" applyBorder="1" applyAlignment="1">
      <alignment horizontal="center" vertical="top"/>
    </xf>
    <xf numFmtId="0" fontId="46" fillId="0" borderId="35" xfId="0" applyFont="1" applyBorder="1" applyAlignment="1">
      <alignment horizontal="left"/>
    </xf>
    <xf numFmtId="0" fontId="60" fillId="0" borderId="17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0" fillId="0" borderId="35" xfId="0" applyFont="1" applyBorder="1" applyAlignment="1">
      <alignment horizontal="left"/>
    </xf>
    <xf numFmtId="0" fontId="60" fillId="0" borderId="17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12" fillId="0" borderId="1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35" xfId="0" applyFont="1" applyBorder="1" applyAlignment="1">
      <alignment horizontal="left"/>
    </xf>
    <xf numFmtId="49" fontId="46" fillId="0" borderId="17" xfId="0" applyNumberFormat="1" applyFont="1" applyBorder="1" applyAlignment="1">
      <alignment horizontal="left"/>
    </xf>
    <xf numFmtId="49" fontId="46" fillId="0" borderId="0" xfId="0" applyNumberFormat="1" applyFont="1" applyAlignment="1">
      <alignment horizontal="left"/>
    </xf>
    <xf numFmtId="49" fontId="46" fillId="0" borderId="35" xfId="0" applyNumberFormat="1" applyFont="1" applyBorder="1" applyAlignment="1">
      <alignment horizontal="left"/>
    </xf>
    <xf numFmtId="167" fontId="12" fillId="0" borderId="0" xfId="0" applyNumberFormat="1" applyFont="1" applyAlignment="1">
      <alignment horizontal="center"/>
    </xf>
    <xf numFmtId="0" fontId="12" fillId="0" borderId="17" xfId="0" applyFont="1" applyBorder="1" applyAlignment="1">
      <alignment horizontal="center"/>
    </xf>
    <xf numFmtId="14" fontId="62" fillId="2" borderId="14" xfId="0" applyNumberFormat="1" applyFont="1" applyFill="1" applyBorder="1" applyAlignment="1">
      <alignment horizontal="center"/>
    </xf>
    <xf numFmtId="0" fontId="62" fillId="2" borderId="16" xfId="0" applyFont="1" applyFill="1" applyBorder="1" applyAlignment="1">
      <alignment horizontal="center"/>
    </xf>
    <xf numFmtId="14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0" fontId="46" fillId="0" borderId="11" xfId="0" applyFont="1" applyBorder="1" applyAlignment="1">
      <alignment horizontal="center"/>
    </xf>
    <xf numFmtId="0" fontId="46" fillId="0" borderId="53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62" fillId="0" borderId="17" xfId="0" applyFont="1" applyBorder="1" applyAlignment="1">
      <alignment horizontal="left"/>
    </xf>
    <xf numFmtId="0" fontId="62" fillId="0" borderId="0" xfId="0" applyFont="1" applyAlignment="1">
      <alignment horizontal="left"/>
    </xf>
    <xf numFmtId="0" fontId="62" fillId="0" borderId="35" xfId="0" applyFont="1" applyBorder="1" applyAlignment="1">
      <alignment horizontal="left"/>
    </xf>
    <xf numFmtId="0" fontId="63" fillId="0" borderId="17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3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35" xfId="0" applyFont="1" applyBorder="1" applyAlignment="1">
      <alignment horizontal="left"/>
    </xf>
    <xf numFmtId="49" fontId="60" fillId="0" borderId="17" xfId="0" applyNumberFormat="1" applyFont="1" applyBorder="1" applyAlignment="1">
      <alignment horizontal="left"/>
    </xf>
    <xf numFmtId="14" fontId="12" fillId="0" borderId="14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60" fillId="3" borderId="17" xfId="0" applyFont="1" applyFill="1" applyBorder="1" applyAlignment="1">
      <alignment horizontal="left"/>
    </xf>
    <xf numFmtId="0" fontId="60" fillId="3" borderId="0" xfId="0" applyFont="1" applyFill="1" applyAlignment="1">
      <alignment horizontal="left"/>
    </xf>
    <xf numFmtId="0" fontId="60" fillId="3" borderId="35" xfId="0" applyFont="1" applyFill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wrapText="1"/>
    </xf>
    <xf numFmtId="167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54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65" fontId="2" fillId="0" borderId="1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165" fontId="9" fillId="0" borderId="2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25" fillId="3" borderId="11" xfId="0" applyFont="1" applyFill="1" applyBorder="1" applyAlignment="1">
      <alignment horizontal="center"/>
    </xf>
    <xf numFmtId="0" fontId="25" fillId="3" borderId="28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wrapText="1"/>
    </xf>
    <xf numFmtId="0" fontId="25" fillId="3" borderId="27" xfId="0" applyFont="1" applyFill="1" applyBorder="1" applyAlignment="1">
      <alignment horizontal="center" wrapText="1"/>
    </xf>
    <xf numFmtId="0" fontId="25" fillId="3" borderId="13" xfId="0" applyFont="1" applyFill="1" applyBorder="1" applyAlignment="1">
      <alignment horizontal="center" wrapText="1"/>
    </xf>
    <xf numFmtId="0" fontId="25" fillId="3" borderId="55" xfId="0" applyFont="1" applyFill="1" applyBorder="1" applyAlignment="1">
      <alignment horizontal="center" wrapText="1"/>
    </xf>
    <xf numFmtId="0" fontId="21" fillId="3" borderId="0" xfId="0" applyFont="1" applyFill="1" applyAlignment="1">
      <alignment horizontal="center" vertical="center"/>
    </xf>
    <xf numFmtId="166" fontId="25" fillId="3" borderId="15" xfId="0" applyNumberFormat="1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49" fontId="25" fillId="3" borderId="32" xfId="0" applyNumberFormat="1" applyFont="1" applyFill="1" applyBorder="1" applyAlignment="1">
      <alignment horizontal="center" vertical="center"/>
    </xf>
    <xf numFmtId="0" fontId="25" fillId="3" borderId="32" xfId="0" applyFont="1" applyFill="1" applyBorder="1" applyAlignment="1">
      <alignment horizontal="center" vertical="center"/>
    </xf>
    <xf numFmtId="0" fontId="25" fillId="3" borderId="33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 textRotation="90"/>
    </xf>
    <xf numFmtId="0" fontId="25" fillId="3" borderId="50" xfId="0" applyFont="1" applyFill="1" applyBorder="1" applyAlignment="1">
      <alignment horizontal="center" vertical="center" textRotation="90"/>
    </xf>
    <xf numFmtId="0" fontId="25" fillId="3" borderId="37" xfId="0" applyFont="1" applyFill="1" applyBorder="1" applyAlignment="1">
      <alignment horizontal="center" vertical="center" textRotation="90"/>
    </xf>
    <xf numFmtId="0" fontId="24" fillId="3" borderId="0" xfId="0" applyFont="1" applyFill="1" applyAlignment="1">
      <alignment horizontal="center" vertical="top"/>
    </xf>
    <xf numFmtId="0" fontId="26" fillId="3" borderId="0" xfId="0" applyFont="1" applyFill="1" applyAlignment="1">
      <alignment horizontal="center" vertical="top"/>
    </xf>
    <xf numFmtId="0" fontId="25" fillId="3" borderId="0" xfId="0" applyFont="1" applyFill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24" fillId="3" borderId="0" xfId="0" applyFont="1" applyFill="1" applyAlignment="1">
      <alignment horizontal="left"/>
    </xf>
    <xf numFmtId="0" fontId="24" fillId="3" borderId="35" xfId="0" applyFont="1" applyFill="1" applyBorder="1" applyAlignment="1">
      <alignment horizontal="left"/>
    </xf>
    <xf numFmtId="0" fontId="25" fillId="3" borderId="5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left"/>
    </xf>
    <xf numFmtId="49" fontId="26" fillId="3" borderId="21" xfId="0" applyNumberFormat="1" applyFont="1" applyFill="1" applyBorder="1" applyAlignment="1">
      <alignment horizontal="center"/>
    </xf>
    <xf numFmtId="49" fontId="26" fillId="3" borderId="1" xfId="0" applyNumberFormat="1" applyFont="1" applyFill="1" applyBorder="1" applyAlignment="1">
      <alignment horizontal="center"/>
    </xf>
    <xf numFmtId="49" fontId="26" fillId="3" borderId="22" xfId="0" applyNumberFormat="1" applyFont="1" applyFill="1" applyBorder="1" applyAlignment="1">
      <alignment horizontal="center"/>
    </xf>
    <xf numFmtId="49" fontId="26" fillId="3" borderId="29" xfId="0" applyNumberFormat="1" applyFont="1" applyFill="1" applyBorder="1" applyAlignment="1">
      <alignment horizontal="center"/>
    </xf>
    <xf numFmtId="49" fontId="26" fillId="3" borderId="30" xfId="0" applyNumberFormat="1" applyFont="1" applyFill="1" applyBorder="1" applyAlignment="1">
      <alignment horizontal="center"/>
    </xf>
    <xf numFmtId="49" fontId="26" fillId="3" borderId="25" xfId="0" applyNumberFormat="1" applyFont="1" applyFill="1" applyBorder="1" applyAlignment="1">
      <alignment horizontal="center"/>
    </xf>
    <xf numFmtId="0" fontId="25" fillId="3" borderId="11" xfId="0" applyFont="1" applyFill="1" applyBorder="1" applyAlignment="1">
      <alignment horizontal="left"/>
    </xf>
    <xf numFmtId="0" fontId="25" fillId="3" borderId="28" xfId="0" applyFont="1" applyFill="1" applyBorder="1" applyAlignment="1">
      <alignment horizontal="center"/>
    </xf>
    <xf numFmtId="14" fontId="25" fillId="3" borderId="34" xfId="0" applyNumberFormat="1" applyFont="1" applyFill="1" applyBorder="1" applyAlignment="1">
      <alignment horizontal="center"/>
    </xf>
    <xf numFmtId="14" fontId="25" fillId="3" borderId="32" xfId="0" applyNumberFormat="1" applyFont="1" applyFill="1" applyBorder="1" applyAlignment="1">
      <alignment horizontal="center"/>
    </xf>
    <xf numFmtId="14" fontId="25" fillId="3" borderId="33" xfId="0" applyNumberFormat="1" applyFont="1" applyFill="1" applyBorder="1" applyAlignment="1">
      <alignment horizontal="center"/>
    </xf>
    <xf numFmtId="2" fontId="25" fillId="3" borderId="6" xfId="0" applyNumberFormat="1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26" fillId="3" borderId="8" xfId="0" applyFont="1" applyFill="1" applyBorder="1" applyAlignment="1">
      <alignment horizontal="center" vertical="top"/>
    </xf>
    <xf numFmtId="0" fontId="21" fillId="3" borderId="0" xfId="0" applyFont="1" applyFill="1" applyAlignment="1">
      <alignment horizontal="center"/>
    </xf>
    <xf numFmtId="0" fontId="27" fillId="3" borderId="17" xfId="0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5" fillId="3" borderId="14" xfId="0" applyFont="1" applyFill="1" applyBorder="1" applyAlignment="1">
      <alignment horizontal="center"/>
    </xf>
    <xf numFmtId="49" fontId="25" fillId="3" borderId="18" xfId="0" applyNumberFormat="1" applyFont="1" applyFill="1" applyBorder="1" applyAlignment="1">
      <alignment horizontal="center"/>
    </xf>
    <xf numFmtId="49" fontId="25" fillId="3" borderId="19" xfId="0" applyNumberFormat="1" applyFont="1" applyFill="1" applyBorder="1" applyAlignment="1">
      <alignment horizontal="center"/>
    </xf>
    <xf numFmtId="49" fontId="25" fillId="3" borderId="20" xfId="0" applyNumberFormat="1" applyFont="1" applyFill="1" applyBorder="1" applyAlignment="1">
      <alignment horizontal="center"/>
    </xf>
    <xf numFmtId="49" fontId="25" fillId="3" borderId="21" xfId="0" applyNumberFormat="1" applyFont="1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center"/>
    </xf>
    <xf numFmtId="49" fontId="25" fillId="3" borderId="22" xfId="0" applyNumberFormat="1" applyFont="1" applyFill="1" applyBorder="1" applyAlignment="1">
      <alignment horizontal="center"/>
    </xf>
    <xf numFmtId="170" fontId="29" fillId="3" borderId="11" xfId="0" applyNumberFormat="1" applyFont="1" applyFill="1" applyBorder="1" applyAlignment="1">
      <alignment horizontal="center"/>
    </xf>
    <xf numFmtId="49" fontId="29" fillId="3" borderId="11" xfId="0" applyNumberFormat="1" applyFont="1" applyFill="1" applyBorder="1" applyAlignment="1">
      <alignment horizontal="center"/>
    </xf>
    <xf numFmtId="0" fontId="30" fillId="3" borderId="8" xfId="0" applyFont="1" applyFill="1" applyBorder="1" applyAlignment="1">
      <alignment horizontal="center" vertical="top"/>
    </xf>
    <xf numFmtId="49" fontId="25" fillId="3" borderId="31" xfId="0" applyNumberFormat="1" applyFont="1" applyFill="1" applyBorder="1" applyAlignment="1">
      <alignment horizontal="center" vertical="center"/>
    </xf>
    <xf numFmtId="2" fontId="25" fillId="3" borderId="32" xfId="0" applyNumberFormat="1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top" wrapText="1"/>
    </xf>
    <xf numFmtId="0" fontId="24" fillId="3" borderId="11" xfId="0" applyFont="1" applyFill="1" applyBorder="1" applyAlignment="1">
      <alignment horizontal="center"/>
    </xf>
    <xf numFmtId="0" fontId="66" fillId="3" borderId="8" xfId="0" applyFont="1" applyFill="1" applyBorder="1" applyAlignment="1">
      <alignment horizontal="center"/>
    </xf>
    <xf numFmtId="0" fontId="66" fillId="3" borderId="0" xfId="0" applyFont="1" applyFill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34" xfId="0" applyFont="1" applyFill="1" applyBorder="1" applyAlignment="1">
      <alignment horizontal="center" vertical="center"/>
    </xf>
    <xf numFmtId="49" fontId="24" fillId="3" borderId="45" xfId="0" applyNumberFormat="1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top" wrapText="1"/>
    </xf>
    <xf numFmtId="0" fontId="24" fillId="3" borderId="8" xfId="0" applyFont="1" applyFill="1" applyBorder="1" applyAlignment="1">
      <alignment horizontal="center" vertical="top" wrapText="1"/>
    </xf>
    <xf numFmtId="0" fontId="24" fillId="3" borderId="9" xfId="0" applyFont="1" applyFill="1" applyBorder="1" applyAlignment="1">
      <alignment horizontal="center" vertical="top" wrapText="1"/>
    </xf>
    <xf numFmtId="14" fontId="30" fillId="3" borderId="14" xfId="0" applyNumberFormat="1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top" wrapText="1"/>
    </xf>
    <xf numFmtId="0" fontId="24" fillId="3" borderId="27" xfId="0" applyFont="1" applyFill="1" applyBorder="1" applyAlignment="1">
      <alignment horizontal="center" vertical="top" wrapText="1"/>
    </xf>
    <xf numFmtId="166" fontId="30" fillId="3" borderId="15" xfId="0" applyNumberFormat="1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49" fontId="24" fillId="3" borderId="56" xfId="0" applyNumberFormat="1" applyFont="1" applyFill="1" applyBorder="1" applyAlignment="1">
      <alignment horizontal="center"/>
    </xf>
    <xf numFmtId="49" fontId="24" fillId="3" borderId="57" xfId="0" applyNumberFormat="1" applyFont="1" applyFill="1" applyBorder="1" applyAlignment="1">
      <alignment horizontal="center"/>
    </xf>
    <xf numFmtId="49" fontId="24" fillId="3" borderId="60" xfId="0" applyNumberFormat="1" applyFont="1" applyFill="1" applyBorder="1" applyAlignment="1">
      <alignment horizontal="center"/>
    </xf>
    <xf numFmtId="49" fontId="24" fillId="3" borderId="61" xfId="0" applyNumberFormat="1" applyFont="1" applyFill="1" applyBorder="1" applyAlignment="1">
      <alignment horizontal="center"/>
    </xf>
    <xf numFmtId="0" fontId="24" fillId="3" borderId="62" xfId="0" applyFont="1" applyFill="1" applyBorder="1" applyAlignment="1">
      <alignment horizontal="center"/>
    </xf>
    <xf numFmtId="49" fontId="24" fillId="3" borderId="63" xfId="0" applyNumberFormat="1" applyFont="1" applyFill="1" applyBorder="1" applyAlignment="1">
      <alignment horizontal="center"/>
    </xf>
    <xf numFmtId="49" fontId="24" fillId="3" borderId="8" xfId="0" applyNumberFormat="1" applyFont="1" applyFill="1" applyBorder="1" applyAlignment="1">
      <alignment horizontal="center"/>
    </xf>
    <xf numFmtId="49" fontId="24" fillId="3" borderId="54" xfId="0" applyNumberFormat="1" applyFont="1" applyFill="1" applyBorder="1" applyAlignment="1">
      <alignment horizontal="center"/>
    </xf>
    <xf numFmtId="49" fontId="24" fillId="3" borderId="52" xfId="0" applyNumberFormat="1" applyFont="1" applyFill="1" applyBorder="1" applyAlignment="1">
      <alignment horizontal="center"/>
    </xf>
    <xf numFmtId="49" fontId="24" fillId="3" borderId="13" xfId="0" applyNumberFormat="1" applyFont="1" applyFill="1" applyBorder="1" applyAlignment="1">
      <alignment horizontal="center"/>
    </xf>
    <xf numFmtId="49" fontId="24" fillId="3" borderId="48" xfId="0" applyNumberFormat="1" applyFont="1" applyFill="1" applyBorder="1" applyAlignment="1">
      <alignment horizontal="center"/>
    </xf>
    <xf numFmtId="0" fontId="24" fillId="3" borderId="0" xfId="0" applyFont="1" applyFill="1" applyAlignment="1">
      <alignment horizontal="right"/>
    </xf>
    <xf numFmtId="14" fontId="24" fillId="3" borderId="3" xfId="0" applyNumberFormat="1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5" xfId="0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35" xfId="0" applyNumberFormat="1" applyBorder="1" applyAlignment="1">
      <alignment horizontal="left"/>
    </xf>
    <xf numFmtId="0" fontId="47" fillId="0" borderId="17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36" fillId="0" borderId="0" xfId="0" applyFont="1" applyAlignment="1">
      <alignment horizontal="left" vertical="center"/>
    </xf>
    <xf numFmtId="0" fontId="36" fillId="0" borderId="17" xfId="0" applyFont="1" applyBorder="1" applyAlignment="1">
      <alignment horizontal="left" vertical="center"/>
    </xf>
    <xf numFmtId="0" fontId="36" fillId="0" borderId="35" xfId="0" applyFont="1" applyBorder="1" applyAlignment="1">
      <alignment horizontal="left" vertical="center"/>
    </xf>
    <xf numFmtId="0" fontId="36" fillId="0" borderId="52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49" fontId="35" fillId="0" borderId="0" xfId="0" applyNumberFormat="1" applyFont="1" applyAlignment="1">
      <alignment horizontal="center" vertical="center"/>
    </xf>
    <xf numFmtId="0" fontId="36" fillId="0" borderId="17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36" fillId="0" borderId="35" xfId="0" applyFont="1" applyBorder="1" applyAlignment="1">
      <alignment horizontal="left" vertical="top"/>
    </xf>
    <xf numFmtId="14" fontId="35" fillId="0" borderId="0" xfId="0" applyNumberFormat="1" applyFont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17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14" fontId="35" fillId="0" borderId="17" xfId="0" applyNumberFormat="1" applyFont="1" applyBorder="1" applyAlignment="1">
      <alignment horizontal="left" vertical="center"/>
    </xf>
    <xf numFmtId="0" fontId="35" fillId="0" borderId="17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6" fillId="0" borderId="51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5" fillId="0" borderId="36" xfId="0" applyFont="1" applyBorder="1" applyAlignment="1">
      <alignment horizontal="center" vertical="center"/>
    </xf>
    <xf numFmtId="0" fontId="35" fillId="0" borderId="35" xfId="0" applyFont="1" applyBorder="1" applyAlignment="1">
      <alignment horizontal="left" vertical="center"/>
    </xf>
    <xf numFmtId="0" fontId="36" fillId="0" borderId="17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0" xfId="0" applyFont="1" applyAlignment="1">
      <alignment horizontal="right"/>
    </xf>
    <xf numFmtId="0" fontId="38" fillId="0" borderId="8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165" fontId="35" fillId="0" borderId="35" xfId="0" applyNumberFormat="1" applyFont="1" applyBorder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36" fillId="0" borderId="17" xfId="0" applyNumberFormat="1" applyFont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14" fontId="36" fillId="0" borderId="35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35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167" fontId="35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7" fontId="35" fillId="0" borderId="0" xfId="0" applyNumberFormat="1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14" fontId="36" fillId="0" borderId="1" xfId="0" applyNumberFormat="1" applyFont="1" applyBorder="1" applyAlignment="1">
      <alignment horizontal="left" vertical="center"/>
    </xf>
    <xf numFmtId="12" fontId="36" fillId="0" borderId="1" xfId="0" applyNumberFormat="1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0" fontId="38" fillId="0" borderId="0" xfId="0" applyFont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71" fillId="2" borderId="14" xfId="0" applyFont="1" applyFill="1" applyBorder="1" applyAlignment="1">
      <alignment horizontal="center"/>
    </xf>
    <xf numFmtId="0" fontId="71" fillId="2" borderId="15" xfId="0" applyFont="1" applyFill="1" applyBorder="1" applyAlignment="1">
      <alignment horizontal="center"/>
    </xf>
    <xf numFmtId="0" fontId="71" fillId="2" borderId="16" xfId="0" applyFont="1" applyFill="1" applyBorder="1" applyAlignment="1">
      <alignment horizontal="center"/>
    </xf>
  </cellXfs>
  <cellStyles count="5">
    <cellStyle name="Гиперссылка" xfId="2" builtinId="8"/>
    <cellStyle name="Обычный" xfId="0" builtinId="0"/>
    <cellStyle name="Процентный" xfId="4" builtinId="5"/>
    <cellStyle name="Стиль 1" xfId="1" xr:uid="{00000000-0005-0000-0000-000001000000}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7</xdr:row>
      <xdr:rowOff>107157</xdr:rowOff>
    </xdr:from>
    <xdr:to>
      <xdr:col>4</xdr:col>
      <xdr:colOff>452437</xdr:colOff>
      <xdr:row>10</xdr:row>
      <xdr:rowOff>162840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1524001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202407</xdr:colOff>
      <xdr:row>0</xdr:row>
      <xdr:rowOff>0</xdr:rowOff>
    </xdr:from>
    <xdr:to>
      <xdr:col>4</xdr:col>
      <xdr:colOff>297657</xdr:colOff>
      <xdr:row>3</xdr:row>
      <xdr:rowOff>258089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83344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</xdr:colOff>
      <xdr:row>0</xdr:row>
      <xdr:rowOff>107157</xdr:rowOff>
    </xdr:from>
    <xdr:to>
      <xdr:col>4</xdr:col>
      <xdr:colOff>214312</xdr:colOff>
      <xdr:row>4</xdr:row>
      <xdr:rowOff>115215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" y="107157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1</xdr:row>
      <xdr:rowOff>23812</xdr:rowOff>
    </xdr:from>
    <xdr:to>
      <xdr:col>4</xdr:col>
      <xdr:colOff>297657</xdr:colOff>
      <xdr:row>4</xdr:row>
      <xdr:rowOff>222370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14312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38</xdr:row>
      <xdr:rowOff>130970</xdr:rowOff>
    </xdr:from>
    <xdr:to>
      <xdr:col>2</xdr:col>
      <xdr:colOff>249465</xdr:colOff>
      <xdr:row>42</xdr:row>
      <xdr:rowOff>8897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4DDAF87-F575-4307-BC06-C35A6C76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0970"/>
          <a:ext cx="2735036" cy="1159266"/>
        </a:xfrm>
        <a:prstGeom prst="rect">
          <a:avLst/>
        </a:prstGeom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66675</xdr:rowOff>
    </xdr:from>
    <xdr:to>
      <xdr:col>2</xdr:col>
      <xdr:colOff>659031</xdr:colOff>
      <xdr:row>4</xdr:row>
      <xdr:rowOff>10245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94B8B31-9E22-48E3-B68F-C2E28DB0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675"/>
          <a:ext cx="2223788" cy="930127"/>
        </a:xfrm>
        <a:prstGeom prst="rect">
          <a:avLst/>
        </a:prstGeom>
        <a:effectLst/>
      </xdr:spPr>
    </xdr:pic>
    <xdr:clientData/>
  </xdr:twoCellAnchor>
  <xdr:oneCellAnchor>
    <xdr:from>
      <xdr:col>0</xdr:col>
      <xdr:colOff>19051</xdr:colOff>
      <xdr:row>44</xdr:row>
      <xdr:rowOff>66675</xdr:rowOff>
    </xdr:from>
    <xdr:ext cx="2223788" cy="930127"/>
    <xdr:pic>
      <xdr:nvPicPr>
        <xdr:cNvPr id="10" name="Рисунок 9">
          <a:extLst>
            <a:ext uri="{FF2B5EF4-FFF2-40B4-BE49-F238E27FC236}">
              <a16:creationId xmlns:a16="http://schemas.microsoft.com/office/drawing/2014/main" id="{8A8C0EF5-28EF-4F12-BBED-C91DE1825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675"/>
          <a:ext cx="2223788" cy="930127"/>
        </a:xfrm>
        <a:prstGeom prst="rect">
          <a:avLst/>
        </a:prstGeom>
        <a:effectLst/>
      </xdr:spPr>
    </xdr:pic>
    <xdr:clientData/>
  </xdr:oneCellAnchor>
  <xdr:oneCellAnchor>
    <xdr:from>
      <xdr:col>0</xdr:col>
      <xdr:colOff>19051</xdr:colOff>
      <xdr:row>92</xdr:row>
      <xdr:rowOff>66675</xdr:rowOff>
    </xdr:from>
    <xdr:ext cx="2223788" cy="930127"/>
    <xdr:pic>
      <xdr:nvPicPr>
        <xdr:cNvPr id="14" name="Рисунок 13">
          <a:extLst>
            <a:ext uri="{FF2B5EF4-FFF2-40B4-BE49-F238E27FC236}">
              <a16:creationId xmlns:a16="http://schemas.microsoft.com/office/drawing/2014/main" id="{CE6A9BBE-7179-4C7D-97B4-62964FEA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0953972"/>
          <a:ext cx="2223788" cy="930127"/>
        </a:xfrm>
        <a:prstGeom prst="rect">
          <a:avLst/>
        </a:prstGeom>
        <a:effectLst/>
      </xdr:spPr>
    </xdr:pic>
    <xdr:clientData/>
  </xdr:oneCellAnchor>
  <xdr:twoCellAnchor editAs="oneCell">
    <xdr:from>
      <xdr:col>8</xdr:col>
      <xdr:colOff>583405</xdr:colOff>
      <xdr:row>35</xdr:row>
      <xdr:rowOff>11906</xdr:rowOff>
    </xdr:from>
    <xdr:to>
      <xdr:col>13</xdr:col>
      <xdr:colOff>114389</xdr:colOff>
      <xdr:row>41</xdr:row>
      <xdr:rowOff>183375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8382759-EAF2-4009-9784-0D9AFE41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4" y="8584406"/>
          <a:ext cx="3031421" cy="1600219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523875</xdr:colOff>
      <xdr:row>83</xdr:row>
      <xdr:rowOff>23812</xdr:rowOff>
    </xdr:from>
    <xdr:to>
      <xdr:col>13</xdr:col>
      <xdr:colOff>54859</xdr:colOff>
      <xdr:row>89</xdr:row>
      <xdr:rowOff>195281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9D989E9-FF6E-4CBD-BAEB-41E6E41B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6594" y="20276343"/>
          <a:ext cx="3031421" cy="1600219"/>
        </a:xfrm>
        <a:prstGeom prst="rect">
          <a:avLst/>
        </a:prstGeom>
      </xdr:spPr>
    </xdr:pic>
    <xdr:clientData/>
  </xdr:twoCellAnchor>
  <xdr:twoCellAnchor editAs="oneCell">
    <xdr:from>
      <xdr:col>9</xdr:col>
      <xdr:colOff>23813</xdr:colOff>
      <xdr:row>149</xdr:row>
      <xdr:rowOff>23812</xdr:rowOff>
    </xdr:from>
    <xdr:to>
      <xdr:col>13</xdr:col>
      <xdr:colOff>328703</xdr:colOff>
      <xdr:row>155</xdr:row>
      <xdr:rowOff>171469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424BED2-EB3E-4CBB-B46D-5BBC8AEF2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0438" y="36385500"/>
          <a:ext cx="3031421" cy="1600219"/>
        </a:xfrm>
        <a:prstGeom prst="rect">
          <a:avLst/>
        </a:prstGeom>
      </xdr:spPr>
    </xdr:pic>
    <xdr:clientData/>
  </xdr:twoCellAnchor>
  <xdr:twoCellAnchor editAs="oneCell">
    <xdr:from>
      <xdr:col>7</xdr:col>
      <xdr:colOff>988219</xdr:colOff>
      <xdr:row>147</xdr:row>
      <xdr:rowOff>11906</xdr:rowOff>
    </xdr:from>
    <xdr:to>
      <xdr:col>11</xdr:col>
      <xdr:colOff>6703</xdr:colOff>
      <xdr:row>155</xdr:row>
      <xdr:rowOff>131090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13B9FE3-3A3D-4AD1-87F1-711E70D91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938" y="35849719"/>
          <a:ext cx="2090296" cy="2095621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857250</xdr:colOff>
      <xdr:row>80</xdr:row>
      <xdr:rowOff>154781</xdr:rowOff>
    </xdr:from>
    <xdr:to>
      <xdr:col>10</xdr:col>
      <xdr:colOff>90046</xdr:colOff>
      <xdr:row>89</xdr:row>
      <xdr:rowOff>107277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D0E3C40-2B6F-4685-BE92-61715BA04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6969" y="19692937"/>
          <a:ext cx="2090296" cy="2095621"/>
        </a:xfrm>
        <a:prstGeom prst="rect">
          <a:avLst/>
        </a:prstGeom>
      </xdr:spPr>
    </xdr:pic>
    <xdr:clientData/>
  </xdr:twoCellAnchor>
  <xdr:twoCellAnchor editAs="oneCell">
    <xdr:from>
      <xdr:col>7</xdr:col>
      <xdr:colOff>1035844</xdr:colOff>
      <xdr:row>32</xdr:row>
      <xdr:rowOff>142875</xdr:rowOff>
    </xdr:from>
    <xdr:to>
      <xdr:col>11</xdr:col>
      <xdr:colOff>54328</xdr:colOff>
      <xdr:row>41</xdr:row>
      <xdr:rowOff>95371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91599F0-A064-48EA-97F7-B0B33047E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5563" y="8001000"/>
          <a:ext cx="2090296" cy="20956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66675</xdr:rowOff>
    </xdr:from>
    <xdr:to>
      <xdr:col>2</xdr:col>
      <xdr:colOff>649506</xdr:colOff>
      <xdr:row>4</xdr:row>
      <xdr:rowOff>10245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B8D26D8-E3A5-4FB1-90BC-F34AA0B3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675"/>
          <a:ext cx="2221130" cy="907976"/>
        </a:xfrm>
        <a:prstGeom prst="rect">
          <a:avLst/>
        </a:prstGeom>
        <a:effectLst/>
      </xdr:spPr>
    </xdr:pic>
    <xdr:clientData/>
  </xdr:twoCellAnchor>
  <xdr:oneCellAnchor>
    <xdr:from>
      <xdr:col>0</xdr:col>
      <xdr:colOff>19051</xdr:colOff>
      <xdr:row>49</xdr:row>
      <xdr:rowOff>66675</xdr:rowOff>
    </xdr:from>
    <xdr:ext cx="2223788" cy="930127"/>
    <xdr:pic>
      <xdr:nvPicPr>
        <xdr:cNvPr id="11" name="Рисунок 10">
          <a:extLst>
            <a:ext uri="{FF2B5EF4-FFF2-40B4-BE49-F238E27FC236}">
              <a16:creationId xmlns:a16="http://schemas.microsoft.com/office/drawing/2014/main" id="{FF07AB4B-71CE-4C41-B005-456605CD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0763250"/>
          <a:ext cx="2223788" cy="930127"/>
        </a:xfrm>
        <a:prstGeom prst="rect">
          <a:avLst/>
        </a:prstGeom>
        <a:effectLst/>
      </xdr:spPr>
    </xdr:pic>
    <xdr:clientData/>
  </xdr:oneCellAnchor>
  <xdr:oneCellAnchor>
    <xdr:from>
      <xdr:col>0</xdr:col>
      <xdr:colOff>19051</xdr:colOff>
      <xdr:row>99</xdr:row>
      <xdr:rowOff>66675</xdr:rowOff>
    </xdr:from>
    <xdr:ext cx="2223788" cy="930127"/>
    <xdr:pic>
      <xdr:nvPicPr>
        <xdr:cNvPr id="13" name="Рисунок 12">
          <a:extLst>
            <a:ext uri="{FF2B5EF4-FFF2-40B4-BE49-F238E27FC236}">
              <a16:creationId xmlns:a16="http://schemas.microsoft.com/office/drawing/2014/main" id="{2461E6D0-8655-4700-A62F-B4113B884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22412325"/>
          <a:ext cx="2223788" cy="930127"/>
        </a:xfrm>
        <a:prstGeom prst="rect">
          <a:avLst/>
        </a:prstGeom>
        <a:effectLst/>
      </xdr:spPr>
    </xdr:pic>
    <xdr:clientData/>
  </xdr:oneCellAnchor>
  <xdr:twoCellAnchor editAs="oneCell">
    <xdr:from>
      <xdr:col>8</xdr:col>
      <xdr:colOff>631031</xdr:colOff>
      <xdr:row>152</xdr:row>
      <xdr:rowOff>107156</xdr:rowOff>
    </xdr:from>
    <xdr:to>
      <xdr:col>13</xdr:col>
      <xdr:colOff>42952</xdr:colOff>
      <xdr:row>158</xdr:row>
      <xdr:rowOff>231000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95620D-C7B4-421B-BD59-1A8B55491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37230844"/>
          <a:ext cx="3031421" cy="160021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89</xdr:row>
      <xdr:rowOff>202407</xdr:rowOff>
    </xdr:from>
    <xdr:to>
      <xdr:col>12</xdr:col>
      <xdr:colOff>292984</xdr:colOff>
      <xdr:row>96</xdr:row>
      <xdr:rowOff>135751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9A5BC65-5AB7-4D5E-B3F9-3846E4CB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3719" y="21931313"/>
          <a:ext cx="3031421" cy="1600219"/>
        </a:xfrm>
        <a:prstGeom prst="rect">
          <a:avLst/>
        </a:prstGeom>
      </xdr:spPr>
    </xdr:pic>
    <xdr:clientData/>
  </xdr:twoCellAnchor>
  <xdr:twoCellAnchor editAs="oneCell">
    <xdr:from>
      <xdr:col>9</xdr:col>
      <xdr:colOff>71437</xdr:colOff>
      <xdr:row>39</xdr:row>
      <xdr:rowOff>190500</xdr:rowOff>
    </xdr:from>
    <xdr:to>
      <xdr:col>13</xdr:col>
      <xdr:colOff>257264</xdr:colOff>
      <xdr:row>46</xdr:row>
      <xdr:rowOff>123844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0ABEC7C-F361-4B6E-A007-F49C5621F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8062" y="9739313"/>
          <a:ext cx="3031421" cy="1600219"/>
        </a:xfrm>
        <a:prstGeom prst="rect">
          <a:avLst/>
        </a:prstGeom>
      </xdr:spPr>
    </xdr:pic>
    <xdr:clientData/>
  </xdr:twoCellAnchor>
  <xdr:twoCellAnchor editAs="oneCell">
    <xdr:from>
      <xdr:col>7</xdr:col>
      <xdr:colOff>1142999</xdr:colOff>
      <xdr:row>151</xdr:row>
      <xdr:rowOff>166688</xdr:rowOff>
    </xdr:from>
    <xdr:to>
      <xdr:col>11</xdr:col>
      <xdr:colOff>161483</xdr:colOff>
      <xdr:row>160</xdr:row>
      <xdr:rowOff>47746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39BDDC2-1C12-4452-B662-A052A38EB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718" y="37028438"/>
          <a:ext cx="2090296" cy="2095621"/>
        </a:xfrm>
        <a:prstGeom prst="rect">
          <a:avLst/>
        </a:prstGeom>
      </xdr:spPr>
    </xdr:pic>
    <xdr:clientData/>
  </xdr:twoCellAnchor>
  <xdr:twoCellAnchor editAs="oneCell">
    <xdr:from>
      <xdr:col>7</xdr:col>
      <xdr:colOff>1035844</xdr:colOff>
      <xdr:row>88</xdr:row>
      <xdr:rowOff>83344</xdr:rowOff>
    </xdr:from>
    <xdr:to>
      <xdr:col>11</xdr:col>
      <xdr:colOff>54328</xdr:colOff>
      <xdr:row>97</xdr:row>
      <xdr:rowOff>35840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B111BC4-4006-441F-AEA8-3AD4A4029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5563" y="21574125"/>
          <a:ext cx="2090296" cy="2095621"/>
        </a:xfrm>
        <a:prstGeom prst="rect">
          <a:avLst/>
        </a:prstGeom>
      </xdr:spPr>
    </xdr:pic>
    <xdr:clientData/>
  </xdr:twoCellAnchor>
  <xdr:twoCellAnchor editAs="oneCell">
    <xdr:from>
      <xdr:col>7</xdr:col>
      <xdr:colOff>1000125</xdr:colOff>
      <xdr:row>37</xdr:row>
      <xdr:rowOff>178594</xdr:rowOff>
    </xdr:from>
    <xdr:to>
      <xdr:col>11</xdr:col>
      <xdr:colOff>18609</xdr:colOff>
      <xdr:row>46</xdr:row>
      <xdr:rowOff>131090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1A03C70-196F-4F03-A977-EF79A9E4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9844" y="9251157"/>
          <a:ext cx="2090296" cy="20956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226219</xdr:colOff>
      <xdr:row>0</xdr:row>
      <xdr:rowOff>130969</xdr:rowOff>
    </xdr:from>
    <xdr:to>
      <xdr:col>4</xdr:col>
      <xdr:colOff>404813</xdr:colOff>
      <xdr:row>4</xdr:row>
      <xdr:rowOff>139027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9" y="130969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95250</xdr:rowOff>
    </xdr:from>
    <xdr:to>
      <xdr:col>4</xdr:col>
      <xdr:colOff>333376</xdr:colOff>
      <xdr:row>4</xdr:row>
      <xdr:rowOff>103308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2" y="95250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83344</xdr:rowOff>
    </xdr:from>
    <xdr:to>
      <xdr:col>4</xdr:col>
      <xdr:colOff>83345</xdr:colOff>
      <xdr:row>4</xdr:row>
      <xdr:rowOff>162839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2" y="83344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202406</xdr:colOff>
      <xdr:row>0</xdr:row>
      <xdr:rowOff>107156</xdr:rowOff>
    </xdr:from>
    <xdr:to>
      <xdr:col>4</xdr:col>
      <xdr:colOff>130969</xdr:colOff>
      <xdr:row>4</xdr:row>
      <xdr:rowOff>186651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8A0E734-6D17-4645-AD1A-ABB804F4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" y="107156"/>
          <a:ext cx="2607469" cy="1067714"/>
        </a:xfrm>
        <a:prstGeom prst="rect">
          <a:avLst/>
        </a:prstGeom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11905</xdr:colOff>
      <xdr:row>0</xdr:row>
      <xdr:rowOff>119063</xdr:rowOff>
    </xdr:from>
    <xdr:to>
      <xdr:col>21</xdr:col>
      <xdr:colOff>18909</xdr:colOff>
      <xdr:row>4</xdr:row>
      <xdr:rowOff>137583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5" y="119063"/>
          <a:ext cx="1890837" cy="780520"/>
        </a:xfrm>
        <a:prstGeom prst="rect">
          <a:avLst/>
        </a:prstGeom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6350</xdr:rowOff>
    </xdr:from>
    <xdr:to>
      <xdr:col>24</xdr:col>
      <xdr:colOff>38100</xdr:colOff>
      <xdr:row>3</xdr:row>
      <xdr:rowOff>104036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4081DB7-5286-4248-8C74-439F2139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350"/>
          <a:ext cx="1409699" cy="580286"/>
        </a:xfrm>
        <a:prstGeom prst="rect">
          <a:avLst/>
        </a:prstGeom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72;&#1082;&#1088;&#1086;&#1089;/&#1063;&#1080;&#1089;&#1083;&#1086;%20&#1087;&#1088;&#1086;&#1087;&#1080;&#1089;&#1100;&#1102;%20&#1074;&#1072;&#1083;&#1102;&#1090;&#1072;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Число прописью валюта"/>
    </sheetNames>
    <definedNames>
      <definedName name="ЧислоПрописьюВалюта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arenda.lvl.kg/category/judg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4:R141"/>
  <sheetViews>
    <sheetView tabSelected="1" zoomScale="80" zoomScaleNormal="80" workbookViewId="0">
      <selection activeCell="T9" sqref="T9"/>
    </sheetView>
  </sheetViews>
  <sheetFormatPr defaultRowHeight="15" x14ac:dyDescent="0.25"/>
  <cols>
    <col min="1" max="1" width="8.5703125" customWidth="1"/>
    <col min="7" max="7" width="10.28515625" customWidth="1"/>
    <col min="8" max="8" width="11" customWidth="1"/>
    <col min="9" max="9" width="10.5703125" customWidth="1"/>
    <col min="10" max="10" width="9.85546875" customWidth="1"/>
    <col min="11" max="11" width="13.5703125" customWidth="1"/>
    <col min="12" max="12" width="9.28515625" customWidth="1"/>
    <col min="13" max="13" width="15.85546875" customWidth="1"/>
    <col min="14" max="14" width="10.5703125" customWidth="1"/>
    <col min="15" max="15" width="12.28515625" customWidth="1"/>
    <col min="16" max="16" width="17.42578125" customWidth="1"/>
    <col min="17" max="17" width="2.85546875" customWidth="1"/>
  </cols>
  <sheetData>
    <row r="4" spans="1:16" ht="23.25" customHeight="1" x14ac:dyDescent="0.3">
      <c r="A4" s="303" t="str">
        <f>'Пр №1'!B20</f>
        <v>XXXXXXX</v>
      </c>
      <c r="B4" s="303"/>
      <c r="C4" s="303"/>
      <c r="D4" s="304">
        <f ca="1">'Пр №1'!J20</f>
        <v>46031.871582060186</v>
      </c>
      <c r="E4" s="304"/>
      <c r="F4" s="304">
        <f ca="1">'Пр №1'!L20</f>
        <v>46031.871582060186</v>
      </c>
      <c r="G4" s="304"/>
      <c r="H4" s="307">
        <f>'Пр №1'!P30</f>
        <v>3000</v>
      </c>
      <c r="I4" s="307"/>
      <c r="J4" s="85"/>
      <c r="K4" s="85"/>
      <c r="L4" s="85"/>
      <c r="M4" s="85"/>
      <c r="N4" s="85"/>
      <c r="O4" s="85"/>
      <c r="P4" s="86"/>
    </row>
    <row r="5" spans="1:16" ht="18.75" customHeight="1" x14ac:dyDescent="0.3">
      <c r="A5" s="303"/>
      <c r="B5" s="303"/>
      <c r="C5" s="303"/>
      <c r="D5" s="305">
        <f ca="1">'Пр №1'!J21</f>
        <v>46031</v>
      </c>
      <c r="E5" s="306"/>
      <c r="F5" s="305">
        <f ca="1">'Пр №1'!L21</f>
        <v>46032</v>
      </c>
      <c r="G5" s="306"/>
      <c r="H5" s="307"/>
      <c r="I5" s="307"/>
      <c r="J5" s="85"/>
      <c r="K5" s="85"/>
      <c r="L5" s="85"/>
      <c r="M5" s="85"/>
      <c r="N5" s="85"/>
      <c r="O5" s="85"/>
    </row>
    <row r="7" spans="1:16" ht="21.75" thickBot="1" x14ac:dyDescent="0.4">
      <c r="B7" s="313" t="s">
        <v>26</v>
      </c>
      <c r="C7" s="313"/>
      <c r="D7" s="310" t="s">
        <v>558</v>
      </c>
      <c r="E7" s="310"/>
      <c r="F7" s="310"/>
      <c r="G7" s="310"/>
      <c r="H7" s="310"/>
      <c r="I7" s="310"/>
      <c r="K7" s="313" t="s">
        <v>26</v>
      </c>
      <c r="L7" s="313"/>
      <c r="M7" s="311" t="s">
        <v>799</v>
      </c>
      <c r="N7" s="312"/>
      <c r="O7" s="312"/>
    </row>
    <row r="8" spans="1:16" ht="23.25" customHeight="1" x14ac:dyDescent="0.35">
      <c r="G8" s="316" t="s">
        <v>671</v>
      </c>
      <c r="H8" s="316"/>
      <c r="I8" s="316"/>
      <c r="J8" s="5">
        <v>1</v>
      </c>
      <c r="K8" s="1"/>
      <c r="L8" s="275" t="s">
        <v>618</v>
      </c>
      <c r="M8" s="275"/>
      <c r="N8" s="275"/>
      <c r="O8" s="275"/>
    </row>
    <row r="9" spans="1:16" ht="29.25" thickBot="1" x14ac:dyDescent="0.5">
      <c r="A9" s="315" t="s">
        <v>351</v>
      </c>
      <c r="B9" s="315"/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</row>
    <row r="10" spans="1:16" ht="27" thickBot="1" x14ac:dyDescent="0.45">
      <c r="A10" s="314"/>
      <c r="B10" s="314"/>
      <c r="C10" s="314"/>
      <c r="D10" s="314"/>
      <c r="E10" s="314"/>
      <c r="F10" s="314"/>
      <c r="G10" s="314"/>
      <c r="H10" s="314"/>
      <c r="I10" s="19" t="s">
        <v>17</v>
      </c>
      <c r="J10" s="219">
        <f ca="1">J13</f>
        <v>9</v>
      </c>
      <c r="K10" s="220">
        <f ca="1">MONTH(L13&amp;11)</f>
        <v>1</v>
      </c>
      <c r="L10" s="220">
        <f ca="1">N13</f>
        <v>2026</v>
      </c>
      <c r="M10" s="221">
        <f ca="1">D4</f>
        <v>46031.871582060186</v>
      </c>
      <c r="N10" s="222">
        <f>J8</f>
        <v>1</v>
      </c>
      <c r="O10" s="2"/>
      <c r="P10" s="269">
        <v>46023</v>
      </c>
    </row>
    <row r="11" spans="1:16" ht="21.75" thickBot="1" x14ac:dyDescent="0.4">
      <c r="A11" s="7"/>
      <c r="B11" s="7"/>
      <c r="C11" s="7"/>
      <c r="D11" s="7"/>
      <c r="E11" s="7"/>
      <c r="F11" s="7"/>
      <c r="G11" s="7"/>
      <c r="H11" s="7"/>
      <c r="I11" s="5"/>
      <c r="J11" s="7"/>
      <c r="K11" s="5"/>
      <c r="L11" s="5"/>
      <c r="M11" s="5"/>
      <c r="N11" s="8"/>
      <c r="O11" s="2"/>
      <c r="P11" s="88">
        <f ca="1">+TODAY()</f>
        <v>46031</v>
      </c>
    </row>
    <row r="12" spans="1:16" ht="21.75" customHeight="1" thickBot="1" x14ac:dyDescent="0.4">
      <c r="A12" s="280" t="s">
        <v>801</v>
      </c>
      <c r="B12" s="281"/>
      <c r="C12" s="281"/>
      <c r="D12" s="281"/>
      <c r="E12" s="281"/>
      <c r="F12" s="281"/>
      <c r="G12" s="281"/>
      <c r="H12" s="282"/>
      <c r="I12" s="3"/>
      <c r="J12" s="3"/>
      <c r="K12" s="3"/>
      <c r="L12" s="276"/>
      <c r="M12" s="276"/>
      <c r="N12" s="3"/>
      <c r="O12" s="3"/>
    </row>
    <row r="13" spans="1:16" ht="21" customHeight="1" x14ac:dyDescent="0.35">
      <c r="A13" s="1"/>
      <c r="B13" s="275" t="s">
        <v>11</v>
      </c>
      <c r="C13" s="275"/>
      <c r="D13" s="275"/>
      <c r="E13" s="275"/>
      <c r="F13" s="1"/>
      <c r="G13" s="1"/>
      <c r="H13" s="1"/>
      <c r="I13" s="7" t="s">
        <v>24</v>
      </c>
      <c r="J13" s="5">
        <f ca="1">DAY(TODAY())</f>
        <v>9</v>
      </c>
      <c r="K13" s="6" t="s">
        <v>23</v>
      </c>
      <c r="L13" s="317" t="str">
        <f ca="1">TEXT(P11,"ММММ")</f>
        <v>Январь</v>
      </c>
      <c r="M13" s="317"/>
      <c r="N13" s="1">
        <f ca="1">YEAR(TODAY())</f>
        <v>2026</v>
      </c>
      <c r="O13" s="1" t="s">
        <v>94</v>
      </c>
    </row>
    <row r="14" spans="1:16" ht="21" x14ac:dyDescent="0.35">
      <c r="A14" s="302" t="s">
        <v>800</v>
      </c>
      <c r="B14" s="302"/>
      <c r="C14" s="302"/>
      <c r="D14" s="302"/>
      <c r="E14" s="302"/>
      <c r="F14" s="302"/>
      <c r="G14" s="309" t="s">
        <v>793</v>
      </c>
      <c r="H14" s="309"/>
      <c r="I14" s="309"/>
      <c r="J14" s="309"/>
      <c r="K14" s="309"/>
      <c r="L14" s="309"/>
      <c r="M14" s="309"/>
      <c r="N14" s="309"/>
      <c r="O14" s="309"/>
      <c r="P14" s="309"/>
    </row>
    <row r="15" spans="1:16" ht="21" x14ac:dyDescent="0.25">
      <c r="A15" s="287" t="s">
        <v>619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</row>
    <row r="16" spans="1:16" ht="21" x14ac:dyDescent="0.25">
      <c r="A16" s="287" t="s">
        <v>794</v>
      </c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</row>
    <row r="17" spans="1:16" ht="21" x14ac:dyDescent="0.25">
      <c r="A17" s="286" t="s">
        <v>28</v>
      </c>
      <c r="B17" s="286"/>
      <c r="C17" s="300">
        <v>22212200650516</v>
      </c>
      <c r="D17" s="300"/>
      <c r="E17" s="300"/>
      <c r="F17" s="300"/>
      <c r="G17" s="300"/>
      <c r="H17" s="286" t="s">
        <v>84</v>
      </c>
      <c r="I17" s="286"/>
      <c r="J17" s="286"/>
      <c r="K17" s="286"/>
      <c r="L17" s="286"/>
      <c r="M17" s="286"/>
      <c r="N17" s="286"/>
      <c r="O17" s="286"/>
      <c r="P17" s="286"/>
    </row>
    <row r="18" spans="1:16" ht="21" x14ac:dyDescent="0.25">
      <c r="A18" s="308" t="s">
        <v>700</v>
      </c>
      <c r="B18" s="308"/>
      <c r="C18" s="308"/>
      <c r="D18" s="308"/>
      <c r="E18" s="308"/>
      <c r="F18" s="308"/>
      <c r="G18" s="308"/>
      <c r="H18" s="308"/>
      <c r="I18" s="286" t="s">
        <v>72</v>
      </c>
      <c r="J18" s="286"/>
      <c r="K18" s="286"/>
      <c r="L18" s="286"/>
      <c r="M18" s="286"/>
      <c r="N18" s="286"/>
      <c r="O18" s="286"/>
      <c r="P18" s="286"/>
    </row>
    <row r="19" spans="1:16" ht="21" x14ac:dyDescent="0.25">
      <c r="A19" s="295" t="s">
        <v>34</v>
      </c>
      <c r="B19" s="295"/>
      <c r="C19" s="295"/>
      <c r="D19" s="295"/>
      <c r="E19" s="20" t="s">
        <v>555</v>
      </c>
      <c r="F19" s="21" t="s">
        <v>12</v>
      </c>
      <c r="G19" s="298" t="s">
        <v>556</v>
      </c>
      <c r="H19" s="298"/>
      <c r="I19" s="21" t="s">
        <v>35</v>
      </c>
      <c r="J19" s="20" t="s">
        <v>559</v>
      </c>
      <c r="K19" s="20" t="s">
        <v>557</v>
      </c>
      <c r="L19" s="20" t="s">
        <v>256</v>
      </c>
      <c r="M19" s="98" t="s">
        <v>557</v>
      </c>
      <c r="N19" s="286" t="s">
        <v>73</v>
      </c>
      <c r="O19" s="286"/>
      <c r="P19" s="286"/>
    </row>
    <row r="20" spans="1:16" ht="21" x14ac:dyDescent="0.25">
      <c r="A20" s="286" t="s">
        <v>36</v>
      </c>
      <c r="B20" s="286"/>
      <c r="C20" s="298" t="s">
        <v>608</v>
      </c>
      <c r="D20" s="298"/>
      <c r="E20" s="298"/>
      <c r="F20" s="298"/>
      <c r="G20" s="298"/>
      <c r="H20" s="298"/>
      <c r="I20" s="298"/>
      <c r="J20" s="298" t="s">
        <v>609</v>
      </c>
      <c r="K20" s="298"/>
      <c r="L20" s="298"/>
      <c r="M20" s="298"/>
      <c r="N20" s="286" t="s">
        <v>37</v>
      </c>
      <c r="O20" s="286"/>
      <c r="P20" s="286"/>
    </row>
    <row r="21" spans="1:16" ht="21" x14ac:dyDescent="0.25">
      <c r="A21" s="298" t="str">
        <f>C20</f>
        <v>Чуйская область г. Бишкек</v>
      </c>
      <c r="B21" s="298"/>
      <c r="C21" s="298"/>
      <c r="D21" s="298"/>
      <c r="E21" s="298"/>
      <c r="F21" s="298"/>
      <c r="G21" s="298"/>
      <c r="H21" s="298"/>
      <c r="I21" s="298" t="str">
        <f>J20</f>
        <v>ул. ХХХХХ</v>
      </c>
      <c r="J21" s="298"/>
      <c r="K21" s="298"/>
      <c r="L21" s="298"/>
      <c r="M21" s="298"/>
      <c r="N21" s="298"/>
      <c r="O21" s="298"/>
      <c r="P21" s="298"/>
    </row>
    <row r="22" spans="1:16" ht="21" x14ac:dyDescent="0.25">
      <c r="A22" s="298" t="s">
        <v>258</v>
      </c>
      <c r="B22" s="298"/>
      <c r="C22" s="301" t="s">
        <v>557</v>
      </c>
      <c r="D22" s="301"/>
      <c r="E22" s="301"/>
      <c r="F22" s="301"/>
      <c r="G22" s="298" t="s">
        <v>39</v>
      </c>
      <c r="H22" s="298"/>
      <c r="I22" s="298"/>
      <c r="J22" s="298"/>
      <c r="K22" s="298"/>
      <c r="L22" s="298"/>
      <c r="M22" s="298"/>
      <c r="N22" s="298"/>
      <c r="O22" s="298"/>
      <c r="P22" s="298"/>
    </row>
    <row r="23" spans="1:16" ht="21" x14ac:dyDescent="0.25">
      <c r="A23" s="319" t="s">
        <v>556</v>
      </c>
      <c r="B23" s="308"/>
      <c r="C23" s="318" t="s">
        <v>138</v>
      </c>
      <c r="D23" s="318"/>
      <c r="E23" s="318"/>
      <c r="F23" s="286" t="s">
        <v>134</v>
      </c>
      <c r="G23" s="286"/>
      <c r="H23" s="286"/>
      <c r="I23" s="286"/>
      <c r="J23" s="286"/>
      <c r="K23" s="286"/>
      <c r="L23" s="286"/>
      <c r="M23" s="286"/>
      <c r="N23" s="286"/>
      <c r="O23" s="286"/>
      <c r="P23" s="286"/>
    </row>
    <row r="24" spans="1:16" ht="21" x14ac:dyDescent="0.25">
      <c r="A24" s="318" t="s">
        <v>0</v>
      </c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22"/>
    </row>
    <row r="25" spans="1:16" ht="21" x14ac:dyDescent="0.25">
      <c r="A25" s="286" t="s">
        <v>465</v>
      </c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</row>
    <row r="26" spans="1:16" ht="21" x14ac:dyDescent="0.25">
      <c r="A26" s="286" t="s">
        <v>466</v>
      </c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</row>
    <row r="27" spans="1:16" ht="21" x14ac:dyDescent="0.25">
      <c r="A27" s="286" t="s">
        <v>533</v>
      </c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</row>
    <row r="28" spans="1:16" ht="21" x14ac:dyDescent="0.25">
      <c r="A28" s="286" t="s">
        <v>467</v>
      </c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</row>
    <row r="29" spans="1:16" ht="21" x14ac:dyDescent="0.25">
      <c r="A29" s="286" t="s">
        <v>534</v>
      </c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</row>
    <row r="30" spans="1:16" ht="21" x14ac:dyDescent="0.25">
      <c r="A30" s="287" t="s">
        <v>649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</row>
    <row r="31" spans="1:16" ht="21" x14ac:dyDescent="0.25">
      <c r="A31" s="286" t="s">
        <v>468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</row>
    <row r="32" spans="1:16" ht="21" x14ac:dyDescent="0.25">
      <c r="A32" s="286" t="s">
        <v>469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</row>
    <row r="33" spans="1:16" ht="21" x14ac:dyDescent="0.25">
      <c r="A33" s="286" t="s">
        <v>535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</row>
    <row r="34" spans="1:16" ht="21" x14ac:dyDescent="0.25">
      <c r="A34" s="286" t="s">
        <v>464</v>
      </c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</row>
    <row r="35" spans="1:16" ht="21" x14ac:dyDescent="0.25">
      <c r="A35" s="318" t="s">
        <v>259</v>
      </c>
      <c r="B35" s="318"/>
      <c r="C35" s="318"/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</row>
    <row r="36" spans="1:16" ht="21" x14ac:dyDescent="0.25">
      <c r="A36" s="295" t="s">
        <v>260</v>
      </c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</row>
    <row r="37" spans="1:16" ht="21" x14ac:dyDescent="0.25">
      <c r="A37" s="295" t="s">
        <v>362</v>
      </c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</row>
    <row r="38" spans="1:16" ht="21" x14ac:dyDescent="0.25">
      <c r="A38" s="286" t="s">
        <v>261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</row>
    <row r="39" spans="1:16" ht="21" x14ac:dyDescent="0.25">
      <c r="A39" s="284" t="s">
        <v>470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</row>
    <row r="40" spans="1:16" ht="21" x14ac:dyDescent="0.25">
      <c r="A40" s="286" t="s">
        <v>471</v>
      </c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</row>
    <row r="41" spans="1:16" ht="21" x14ac:dyDescent="0.25">
      <c r="A41" s="284" t="s">
        <v>472</v>
      </c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</row>
    <row r="42" spans="1:16" ht="21" x14ac:dyDescent="0.25">
      <c r="A42" s="286" t="s">
        <v>473</v>
      </c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</row>
    <row r="43" spans="1:16" ht="21" x14ac:dyDescent="0.25">
      <c r="A43" s="284" t="s">
        <v>474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</row>
    <row r="44" spans="1:16" ht="21" x14ac:dyDescent="0.25">
      <c r="A44" s="286" t="s">
        <v>262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</row>
    <row r="45" spans="1:16" ht="21" x14ac:dyDescent="0.25">
      <c r="A45" s="286" t="s">
        <v>355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</row>
    <row r="46" spans="1:16" ht="21" x14ac:dyDescent="0.25">
      <c r="A46" s="286" t="s">
        <v>263</v>
      </c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</row>
    <row r="47" spans="1:16" ht="21" x14ac:dyDescent="0.25">
      <c r="A47" s="286" t="s">
        <v>264</v>
      </c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</row>
    <row r="48" spans="1:16" ht="21" x14ac:dyDescent="0.25">
      <c r="A48" s="286" t="s">
        <v>265</v>
      </c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</row>
    <row r="49" spans="1:16" ht="21" x14ac:dyDescent="0.25">
      <c r="A49" s="297" t="s">
        <v>330</v>
      </c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</row>
    <row r="50" spans="1:16" ht="21" x14ac:dyDescent="0.25">
      <c r="A50" s="297" t="s">
        <v>331</v>
      </c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</row>
    <row r="51" spans="1:16" ht="21" x14ac:dyDescent="0.25">
      <c r="A51" s="297" t="s">
        <v>363</v>
      </c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</row>
    <row r="52" spans="1:16" ht="21" x14ac:dyDescent="0.25">
      <c r="A52" s="294" t="s">
        <v>266</v>
      </c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</row>
    <row r="53" spans="1:16" ht="21" x14ac:dyDescent="0.25">
      <c r="A53" s="294" t="s">
        <v>321</v>
      </c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</row>
    <row r="54" spans="1:16" ht="21" x14ac:dyDescent="0.25">
      <c r="A54" s="299" t="s">
        <v>389</v>
      </c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</row>
    <row r="55" spans="1:16" ht="21" x14ac:dyDescent="0.25">
      <c r="A55" s="299" t="s">
        <v>358</v>
      </c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</row>
    <row r="56" spans="1:16" ht="21" x14ac:dyDescent="0.25">
      <c r="A56" s="294" t="s">
        <v>461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</row>
    <row r="57" spans="1:16" ht="21" x14ac:dyDescent="0.25">
      <c r="A57" s="294" t="s">
        <v>462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</row>
    <row r="58" spans="1:16" ht="21" x14ac:dyDescent="0.25">
      <c r="A58" s="294" t="s">
        <v>463</v>
      </c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</row>
    <row r="59" spans="1:16" ht="21" x14ac:dyDescent="0.25">
      <c r="A59" s="287" t="s">
        <v>391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</row>
    <row r="60" spans="1:16" ht="21" x14ac:dyDescent="0.25">
      <c r="A60" s="287" t="s">
        <v>267</v>
      </c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</row>
    <row r="61" spans="1:16" ht="21" x14ac:dyDescent="0.25">
      <c r="A61" s="295" t="s">
        <v>40</v>
      </c>
      <c r="B61" s="295"/>
      <c r="C61" s="295"/>
      <c r="D61" s="295"/>
      <c r="E61" s="295"/>
      <c r="F61" s="295"/>
      <c r="G61" s="295"/>
      <c r="H61" s="295"/>
      <c r="I61" s="295"/>
      <c r="J61" s="320" t="str">
        <f>M7</f>
        <v>+996 (552) 727 607</v>
      </c>
      <c r="K61" s="308"/>
      <c r="L61" s="308"/>
      <c r="M61" s="295" t="s">
        <v>457</v>
      </c>
      <c r="N61" s="295"/>
      <c r="O61" s="295"/>
      <c r="P61" s="295"/>
    </row>
    <row r="62" spans="1:16" ht="21" x14ac:dyDescent="0.25">
      <c r="A62" s="286" t="s">
        <v>458</v>
      </c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</row>
    <row r="63" spans="1:16" ht="21" x14ac:dyDescent="0.25">
      <c r="A63" s="295" t="s">
        <v>459</v>
      </c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</row>
    <row r="64" spans="1:16" ht="21" x14ac:dyDescent="0.25">
      <c r="A64" s="286" t="s">
        <v>460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</row>
    <row r="65" spans="1:16" ht="21" x14ac:dyDescent="0.2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</row>
    <row r="66" spans="1:16" ht="21" x14ac:dyDescent="0.25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</row>
    <row r="67" spans="1:16" ht="21" x14ac:dyDescent="0.35">
      <c r="A67" s="276" t="str">
        <f>TRIM(SUBSTITUTE(LEFT(A14&amp;" ",SEARCH(" ",A14&amp;" ")+1)&amp;"."&amp; MID(A14&amp;" ",SEARCH(" ",A14&amp;" ",SEARCH(" ",A14&amp;" ")+1),2)&amp;"."," .",))</f>
        <v>З. М.</v>
      </c>
      <c r="B67" s="276"/>
      <c r="C67" s="276"/>
      <c r="D67" s="276" t="s">
        <v>83</v>
      </c>
      <c r="E67" s="276"/>
      <c r="F67" s="276"/>
      <c r="G67" s="276"/>
      <c r="H67" s="3"/>
      <c r="I67" s="3"/>
      <c r="J67" s="3"/>
      <c r="K67" s="276" t="str">
        <f>TRIM(SUBSTITUTE(LEFT(A18&amp;" ",SEARCH(" ",A18&amp;" ")+1)&amp;"."&amp; MID(A18&amp;" ",SEARCH(" ",A18&amp;" ",SEARCH(" ",A18&amp;" ")+1),2)&amp;"."," .",))</f>
        <v>ХХХХ Х. Х.</v>
      </c>
      <c r="L67" s="276"/>
      <c r="M67" s="276"/>
      <c r="N67" s="276" t="s">
        <v>38</v>
      </c>
      <c r="O67" s="276"/>
      <c r="P67" s="276"/>
    </row>
    <row r="68" spans="1:16" ht="21" x14ac:dyDescent="0.35">
      <c r="A68" s="91"/>
      <c r="B68" s="91"/>
      <c r="C68" s="91"/>
      <c r="D68" s="283" t="s">
        <v>63</v>
      </c>
      <c r="E68" s="283"/>
      <c r="F68" s="283"/>
      <c r="G68" s="283"/>
      <c r="H68" s="38"/>
      <c r="I68" s="38"/>
      <c r="J68" s="38"/>
      <c r="K68" s="38"/>
      <c r="L68" s="38"/>
      <c r="M68" s="38"/>
      <c r="N68" s="283" t="s">
        <v>63</v>
      </c>
      <c r="O68" s="283"/>
      <c r="P68" s="283"/>
    </row>
    <row r="69" spans="1:16" ht="21" x14ac:dyDescent="0.35">
      <c r="A69" s="91"/>
      <c r="B69" s="91"/>
      <c r="C69" s="91"/>
      <c r="D69" s="100"/>
      <c r="E69" s="100"/>
      <c r="F69" s="100"/>
      <c r="G69" s="100"/>
      <c r="H69" s="38"/>
      <c r="I69" s="38"/>
      <c r="J69" s="38"/>
      <c r="K69" s="38"/>
      <c r="L69" s="38"/>
      <c r="M69" s="38"/>
      <c r="N69" s="100"/>
      <c r="O69" s="100"/>
      <c r="P69" s="100"/>
    </row>
    <row r="70" spans="1:16" ht="2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276" t="s">
        <v>268</v>
      </c>
      <c r="K70" s="276"/>
      <c r="L70" s="276"/>
      <c r="M70" s="276"/>
      <c r="N70" s="276"/>
      <c r="O70" s="276"/>
      <c r="P70" s="276"/>
    </row>
    <row r="71" spans="1:16" ht="2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291" t="s">
        <v>269</v>
      </c>
      <c r="L71" s="291"/>
      <c r="M71" s="291"/>
      <c r="N71" s="291"/>
      <c r="O71" s="291"/>
      <c r="P71" s="291"/>
    </row>
    <row r="72" spans="1:16" ht="21" x14ac:dyDescent="0.25">
      <c r="A72" s="295" t="s">
        <v>19</v>
      </c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</row>
    <row r="73" spans="1:16" ht="21" x14ac:dyDescent="0.25">
      <c r="A73" s="295" t="s">
        <v>20</v>
      </c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</row>
    <row r="74" spans="1:16" ht="21" x14ac:dyDescent="0.25">
      <c r="A74" s="295" t="s">
        <v>21</v>
      </c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</row>
    <row r="75" spans="1:16" ht="21" x14ac:dyDescent="0.25">
      <c r="A75" s="295" t="s">
        <v>430</v>
      </c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</row>
    <row r="76" spans="1:16" ht="21" x14ac:dyDescent="0.25">
      <c r="A76" s="296" t="s">
        <v>22</v>
      </c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</row>
    <row r="77" spans="1:16" ht="21" x14ac:dyDescent="0.25">
      <c r="A77" s="295" t="s">
        <v>270</v>
      </c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</row>
    <row r="78" spans="1:16" ht="21" x14ac:dyDescent="0.25">
      <c r="A78" s="286" t="s">
        <v>357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</row>
    <row r="79" spans="1:16" ht="21" x14ac:dyDescent="0.35">
      <c r="A79" s="275" t="s">
        <v>1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</row>
    <row r="80" spans="1:16" ht="21" x14ac:dyDescent="0.35">
      <c r="A80" s="289" t="s">
        <v>650</v>
      </c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</row>
    <row r="81" spans="1:16" ht="21" x14ac:dyDescent="0.35">
      <c r="A81" s="290" t="s">
        <v>456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</row>
    <row r="82" spans="1:16" ht="21" x14ac:dyDescent="0.35">
      <c r="A82" s="289" t="s">
        <v>652</v>
      </c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</row>
    <row r="83" spans="1:16" ht="21" x14ac:dyDescent="0.35">
      <c r="A83" s="290" t="s">
        <v>651</v>
      </c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</row>
    <row r="84" spans="1:16" ht="21" customHeight="1" x14ac:dyDescent="0.35">
      <c r="A84" s="289" t="s">
        <v>452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</row>
    <row r="85" spans="1:16" ht="20.25" customHeight="1" x14ac:dyDescent="0.35">
      <c r="A85" s="289" t="s">
        <v>451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</row>
    <row r="86" spans="1:16" ht="20.25" customHeight="1" x14ac:dyDescent="0.35">
      <c r="A86" s="289" t="s">
        <v>453</v>
      </c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</row>
    <row r="87" spans="1:16" ht="20.25" customHeight="1" x14ac:dyDescent="0.35">
      <c r="A87" s="289" t="s">
        <v>454</v>
      </c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</row>
    <row r="88" spans="1:16" ht="20.25" customHeight="1" x14ac:dyDescent="0.35">
      <c r="A88" s="289" t="s">
        <v>455</v>
      </c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</row>
    <row r="89" spans="1:16" ht="20.25" customHeight="1" x14ac:dyDescent="0.35">
      <c r="A89" s="289" t="s">
        <v>352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</row>
    <row r="90" spans="1:16" ht="20.25" customHeight="1" x14ac:dyDescent="0.35">
      <c r="A90" s="288" t="s">
        <v>449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</row>
    <row r="91" spans="1:16" ht="20.25" customHeight="1" x14ac:dyDescent="0.35">
      <c r="A91" s="288" t="s">
        <v>450</v>
      </c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</row>
    <row r="92" spans="1:16" ht="20.25" customHeight="1" x14ac:dyDescent="0.35">
      <c r="A92" s="288" t="s">
        <v>354</v>
      </c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</row>
    <row r="93" spans="1:16" ht="20.25" customHeight="1" x14ac:dyDescent="0.35">
      <c r="A93" s="288" t="s">
        <v>353</v>
      </c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</row>
    <row r="94" spans="1:16" ht="20.25" customHeight="1" x14ac:dyDescent="0.35">
      <c r="A94" s="288" t="s">
        <v>356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</row>
    <row r="95" spans="1:16" ht="20.25" customHeight="1" x14ac:dyDescent="0.35">
      <c r="A95" s="275" t="s">
        <v>2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</row>
    <row r="96" spans="1:16" ht="20.25" customHeight="1" x14ac:dyDescent="0.35">
      <c r="A96" s="290" t="s">
        <v>432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</row>
    <row r="97" spans="1:16" ht="21" customHeight="1" x14ac:dyDescent="0.35">
      <c r="A97" s="290" t="s">
        <v>447</v>
      </c>
      <c r="B97" s="290"/>
      <c r="C97" s="290"/>
      <c r="D97" s="290"/>
      <c r="E97" s="290"/>
      <c r="F97" s="290"/>
      <c r="G97" s="290"/>
      <c r="H97" s="290"/>
      <c r="I97" s="290"/>
      <c r="J97" s="290"/>
      <c r="K97" s="290"/>
      <c r="L97" s="290"/>
      <c r="M97" s="290"/>
      <c r="N97" s="290"/>
      <c r="O97" s="290"/>
      <c r="P97" s="290"/>
    </row>
    <row r="98" spans="1:16" ht="21" x14ac:dyDescent="0.35">
      <c r="A98" s="290" t="s">
        <v>448</v>
      </c>
      <c r="B98" s="290"/>
      <c r="C98" s="290"/>
      <c r="D98" s="290"/>
      <c r="E98" s="290"/>
      <c r="F98" s="290"/>
      <c r="G98" s="290"/>
      <c r="H98" s="290"/>
      <c r="I98" s="290"/>
      <c r="J98" s="290"/>
      <c r="K98" s="290"/>
      <c r="L98" s="290"/>
      <c r="M98" s="290"/>
      <c r="N98" s="290"/>
      <c r="O98" s="290"/>
      <c r="P98" s="290"/>
    </row>
    <row r="99" spans="1:16" ht="21" x14ac:dyDescent="0.35">
      <c r="A99" s="290" t="s">
        <v>445</v>
      </c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90"/>
    </row>
    <row r="100" spans="1:16" ht="21" x14ac:dyDescent="0.35">
      <c r="A100" s="290" t="s">
        <v>446</v>
      </c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0"/>
      <c r="P100" s="290"/>
    </row>
    <row r="101" spans="1:16" ht="21" x14ac:dyDescent="0.35">
      <c r="A101" s="275" t="s">
        <v>3</v>
      </c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</row>
    <row r="102" spans="1:16" ht="21" x14ac:dyDescent="0.35">
      <c r="A102" s="293" t="s">
        <v>441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</row>
    <row r="103" spans="1:16" ht="21" x14ac:dyDescent="0.35">
      <c r="A103" s="293" t="s">
        <v>442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</row>
    <row r="104" spans="1:16" ht="21" x14ac:dyDescent="0.35">
      <c r="A104" s="293" t="s">
        <v>443</v>
      </c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</row>
    <row r="105" spans="1:16" ht="21" x14ac:dyDescent="0.35">
      <c r="A105" s="293" t="s">
        <v>444</v>
      </c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</row>
    <row r="106" spans="1:16" ht="21" x14ac:dyDescent="0.35">
      <c r="A106" s="293" t="s">
        <v>43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</row>
    <row r="107" spans="1:16" ht="21" x14ac:dyDescent="0.35">
      <c r="A107" s="293" t="s">
        <v>359</v>
      </c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</row>
    <row r="108" spans="1:16" ht="21" x14ac:dyDescent="0.35">
      <c r="A108" s="293" t="s">
        <v>360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</row>
    <row r="109" spans="1:16" ht="21" x14ac:dyDescent="0.35">
      <c r="A109" s="293" t="s">
        <v>361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</row>
    <row r="110" spans="1:16" ht="21" x14ac:dyDescent="0.35">
      <c r="A110" s="288" t="s">
        <v>435</v>
      </c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</row>
    <row r="111" spans="1:16" ht="21" x14ac:dyDescent="0.35">
      <c r="A111" s="288" t="s">
        <v>436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</row>
    <row r="112" spans="1:16" ht="21" x14ac:dyDescent="0.35">
      <c r="A112" s="290" t="s">
        <v>433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</row>
    <row r="113" spans="1:18" ht="21" x14ac:dyDescent="0.35">
      <c r="A113" s="290" t="s">
        <v>434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R113" s="36"/>
    </row>
    <row r="114" spans="1:18" ht="21" x14ac:dyDescent="0.35">
      <c r="A114" s="290" t="s">
        <v>42</v>
      </c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90"/>
    </row>
    <row r="115" spans="1:18" ht="21" x14ac:dyDescent="0.35">
      <c r="A115" s="289" t="s">
        <v>271</v>
      </c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</row>
    <row r="116" spans="1:18" ht="21" x14ac:dyDescent="0.35">
      <c r="A116" s="289" t="s">
        <v>272</v>
      </c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</row>
    <row r="117" spans="1:18" ht="21" x14ac:dyDescent="0.35">
      <c r="A117" s="290" t="s">
        <v>273</v>
      </c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0"/>
      <c r="P117" s="290"/>
    </row>
    <row r="118" spans="1:18" ht="21" x14ac:dyDescent="0.35">
      <c r="A118" s="290" t="s">
        <v>274</v>
      </c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</row>
    <row r="119" spans="1:18" ht="21" x14ac:dyDescent="0.35">
      <c r="A119" s="275" t="s">
        <v>4</v>
      </c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</row>
    <row r="120" spans="1:18" ht="21" x14ac:dyDescent="0.35">
      <c r="A120" s="290" t="s">
        <v>437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</row>
    <row r="121" spans="1:18" ht="21" x14ac:dyDescent="0.35">
      <c r="A121" s="290" t="s">
        <v>438</v>
      </c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0"/>
    </row>
    <row r="122" spans="1:18" ht="21" x14ac:dyDescent="0.35">
      <c r="A122" s="274" t="s">
        <v>439</v>
      </c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</row>
    <row r="123" spans="1:18" ht="21" x14ac:dyDescent="0.35">
      <c r="A123" s="292" t="s">
        <v>492</v>
      </c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</row>
    <row r="124" spans="1:18" ht="21" x14ac:dyDescent="0.35">
      <c r="A124" s="274" t="s">
        <v>440</v>
      </c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</row>
    <row r="125" spans="1:18" ht="21" x14ac:dyDescent="0.35">
      <c r="A125" s="275" t="s">
        <v>5</v>
      </c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</row>
    <row r="126" spans="1:18" ht="21" x14ac:dyDescent="0.35">
      <c r="A126" s="290" t="s">
        <v>431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</row>
    <row r="127" spans="1:18" ht="21" x14ac:dyDescent="0.35">
      <c r="A127" s="290" t="s">
        <v>41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</row>
    <row r="128" spans="1:18" ht="21" x14ac:dyDescent="0.35">
      <c r="A128" s="275" t="s">
        <v>782</v>
      </c>
      <c r="B128" s="276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</row>
    <row r="129" spans="1:16" ht="21" x14ac:dyDescent="0.35">
      <c r="A129" s="279" t="s">
        <v>785</v>
      </c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</row>
    <row r="130" spans="1:16" ht="21" x14ac:dyDescent="0.35">
      <c r="A130" s="274" t="s">
        <v>786</v>
      </c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</row>
    <row r="131" spans="1:16" ht="21" x14ac:dyDescent="0.35">
      <c r="A131" s="277" t="s">
        <v>783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</row>
    <row r="132" spans="1:16" ht="21" x14ac:dyDescent="0.35">
      <c r="A132" s="277" t="s">
        <v>789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</row>
    <row r="133" spans="1:16" ht="21" x14ac:dyDescent="0.35">
      <c r="A133" s="277" t="s">
        <v>784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</row>
    <row r="134" spans="1:16" ht="21" customHeight="1" x14ac:dyDescent="0.25">
      <c r="A134" s="278" t="s">
        <v>787</v>
      </c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278"/>
      <c r="O134" s="278"/>
      <c r="P134" s="278"/>
    </row>
    <row r="135" spans="1:16" ht="21" customHeight="1" x14ac:dyDescent="0.25">
      <c r="A135" s="278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8"/>
      <c r="O135" s="278"/>
      <c r="P135" s="278"/>
    </row>
    <row r="136" spans="1:16" ht="21" customHeight="1" x14ac:dyDescent="0.35">
      <c r="A136" s="274" t="s">
        <v>788</v>
      </c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</row>
    <row r="137" spans="1:16" ht="21" customHeight="1" x14ac:dyDescent="0.35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</row>
    <row r="138" spans="1:16" ht="21" customHeight="1" x14ac:dyDescent="0.35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</row>
    <row r="139" spans="1:16" ht="21" customHeight="1" x14ac:dyDescent="0.35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</row>
    <row r="140" spans="1:16" ht="21" x14ac:dyDescent="0.35">
      <c r="A140" s="276" t="str">
        <f>TRIM(SUBSTITUTE(LEFT(A14&amp;" ",SEARCH(" ",A14&amp;" ")+1)&amp;"."&amp; MID(A14&amp;" ",SEARCH(" ",A14&amp;" ",SEARCH(" ",A14&amp;" ")+1),2)&amp;"."," .",))</f>
        <v>З. М.</v>
      </c>
      <c r="B140" s="276"/>
      <c r="C140" s="276"/>
      <c r="D140" s="276" t="s">
        <v>83</v>
      </c>
      <c r="E140" s="276"/>
      <c r="F140" s="276"/>
      <c r="G140" s="276"/>
      <c r="H140" s="18"/>
      <c r="I140" s="3"/>
      <c r="J140" s="3"/>
      <c r="K140" s="276" t="str">
        <f>TRIM(SUBSTITUTE(LEFT(A18&amp;" ",SEARCH(" ",A18&amp;" ")+1)&amp;"."&amp; MID(A18&amp;" ",SEARCH(" ",A18&amp;" ",SEARCH(" ",A18&amp;" ")+1),2)&amp;"."," .",))</f>
        <v>ХХХХ Х. Х.</v>
      </c>
      <c r="L140" s="276"/>
      <c r="M140" s="276"/>
      <c r="N140" s="276" t="s">
        <v>38</v>
      </c>
      <c r="O140" s="276"/>
      <c r="P140" s="276"/>
    </row>
    <row r="141" spans="1:16" ht="21" x14ac:dyDescent="0.35">
      <c r="A141" s="91"/>
      <c r="B141" s="91"/>
      <c r="C141" s="91"/>
      <c r="D141" s="283" t="s">
        <v>63</v>
      </c>
      <c r="E141" s="283"/>
      <c r="F141" s="283"/>
      <c r="G141" s="283"/>
      <c r="H141" s="18"/>
      <c r="I141" s="38"/>
      <c r="J141" s="38"/>
      <c r="K141" s="38"/>
      <c r="L141" s="38"/>
      <c r="M141" s="38"/>
      <c r="N141" s="283" t="s">
        <v>63</v>
      </c>
      <c r="O141" s="283"/>
      <c r="P141" s="283"/>
    </row>
  </sheetData>
  <mergeCells count="164">
    <mergeCell ref="A24:O24"/>
    <mergeCell ref="A25:P25"/>
    <mergeCell ref="A23:B23"/>
    <mergeCell ref="A62:P62"/>
    <mergeCell ref="A63:P63"/>
    <mergeCell ref="A31:P31"/>
    <mergeCell ref="A32:P32"/>
    <mergeCell ref="A33:P33"/>
    <mergeCell ref="A30:P30"/>
    <mergeCell ref="A49:P49"/>
    <mergeCell ref="A40:P40"/>
    <mergeCell ref="A41:P41"/>
    <mergeCell ref="A37:P37"/>
    <mergeCell ref="A34:P34"/>
    <mergeCell ref="A48:P48"/>
    <mergeCell ref="A61:I61"/>
    <mergeCell ref="J61:L61"/>
    <mergeCell ref="A36:P36"/>
    <mergeCell ref="A35:P35"/>
    <mergeCell ref="C23:E23"/>
    <mergeCell ref="A4:C5"/>
    <mergeCell ref="D4:E4"/>
    <mergeCell ref="D5:E5"/>
    <mergeCell ref="F4:G4"/>
    <mergeCell ref="F5:G5"/>
    <mergeCell ref="H4:I5"/>
    <mergeCell ref="N19:P19"/>
    <mergeCell ref="N20:P20"/>
    <mergeCell ref="A18:H18"/>
    <mergeCell ref="G14:P14"/>
    <mergeCell ref="D7:I7"/>
    <mergeCell ref="L12:M12"/>
    <mergeCell ref="M7:O7"/>
    <mergeCell ref="B7:C7"/>
    <mergeCell ref="L8:O8"/>
    <mergeCell ref="A10:H10"/>
    <mergeCell ref="A9:P9"/>
    <mergeCell ref="K7:L7"/>
    <mergeCell ref="G19:H19"/>
    <mergeCell ref="G8:I8"/>
    <mergeCell ref="L13:M13"/>
    <mergeCell ref="A15:P15"/>
    <mergeCell ref="A16:P16"/>
    <mergeCell ref="A19:D19"/>
    <mergeCell ref="J20:M20"/>
    <mergeCell ref="C20:I20"/>
    <mergeCell ref="B13:E13"/>
    <mergeCell ref="A17:B17"/>
    <mergeCell ref="C17:G17"/>
    <mergeCell ref="A22:B22"/>
    <mergeCell ref="C22:F22"/>
    <mergeCell ref="G22:J22"/>
    <mergeCell ref="A20:B20"/>
    <mergeCell ref="A21:H21"/>
    <mergeCell ref="H17:P17"/>
    <mergeCell ref="I21:P21"/>
    <mergeCell ref="A14:F14"/>
    <mergeCell ref="I18:P18"/>
    <mergeCell ref="A114:P114"/>
    <mergeCell ref="A111:P111"/>
    <mergeCell ref="A112:P112"/>
    <mergeCell ref="A119:P119"/>
    <mergeCell ref="A120:P120"/>
    <mergeCell ref="A107:P107"/>
    <mergeCell ref="A109:P109"/>
    <mergeCell ref="A110:P110"/>
    <mergeCell ref="A113:P113"/>
    <mergeCell ref="A108:P108"/>
    <mergeCell ref="A97:P97"/>
    <mergeCell ref="A100:P100"/>
    <mergeCell ref="A89:P89"/>
    <mergeCell ref="A90:P90"/>
    <mergeCell ref="K22:P22"/>
    <mergeCell ref="A94:P94"/>
    <mergeCell ref="A42:P42"/>
    <mergeCell ref="A99:P99"/>
    <mergeCell ref="A52:P52"/>
    <mergeCell ref="A53:P53"/>
    <mergeCell ref="A54:P54"/>
    <mergeCell ref="A55:P55"/>
    <mergeCell ref="A91:P91"/>
    <mergeCell ref="A73:P73"/>
    <mergeCell ref="A74:P74"/>
    <mergeCell ref="A75:P75"/>
    <mergeCell ref="A26:P26"/>
    <mergeCell ref="A27:P27"/>
    <mergeCell ref="A28:P28"/>
    <mergeCell ref="A29:P29"/>
    <mergeCell ref="A72:P72"/>
    <mergeCell ref="A58:P58"/>
    <mergeCell ref="A38:P38"/>
    <mergeCell ref="F23:P23"/>
    <mergeCell ref="A101:P101"/>
    <mergeCell ref="A102:P102"/>
    <mergeCell ref="A103:P103"/>
    <mergeCell ref="A105:P105"/>
    <mergeCell ref="A39:P39"/>
    <mergeCell ref="A56:P56"/>
    <mergeCell ref="A57:P57"/>
    <mergeCell ref="A140:C140"/>
    <mergeCell ref="D140:G140"/>
    <mergeCell ref="K140:M140"/>
    <mergeCell ref="N140:P140"/>
    <mergeCell ref="A59:P59"/>
    <mergeCell ref="A78:P78"/>
    <mergeCell ref="A77:P77"/>
    <mergeCell ref="A76:P76"/>
    <mergeCell ref="A45:P45"/>
    <mergeCell ref="A46:P46"/>
    <mergeCell ref="A47:P47"/>
    <mergeCell ref="A50:P50"/>
    <mergeCell ref="A51:P51"/>
    <mergeCell ref="M61:P61"/>
    <mergeCell ref="A83:P83"/>
    <mergeCell ref="A84:P84"/>
    <mergeCell ref="A85:P85"/>
    <mergeCell ref="D141:G141"/>
    <mergeCell ref="N141:P141"/>
    <mergeCell ref="K71:P71"/>
    <mergeCell ref="A123:P123"/>
    <mergeCell ref="A124:P124"/>
    <mergeCell ref="A125:P125"/>
    <mergeCell ref="A126:P126"/>
    <mergeCell ref="A127:P127"/>
    <mergeCell ref="A130:P130"/>
    <mergeCell ref="A131:P131"/>
    <mergeCell ref="A115:P115"/>
    <mergeCell ref="A116:P116"/>
    <mergeCell ref="A117:P117"/>
    <mergeCell ref="A118:P118"/>
    <mergeCell ref="A121:P121"/>
    <mergeCell ref="A122:P122"/>
    <mergeCell ref="A104:P104"/>
    <mergeCell ref="A86:P86"/>
    <mergeCell ref="A106:P106"/>
    <mergeCell ref="A80:P80"/>
    <mergeCell ref="A81:P81"/>
    <mergeCell ref="A79:P79"/>
    <mergeCell ref="A82:P82"/>
    <mergeCell ref="A98:P98"/>
    <mergeCell ref="A136:P136"/>
    <mergeCell ref="A128:P128"/>
    <mergeCell ref="A132:P132"/>
    <mergeCell ref="A133:P133"/>
    <mergeCell ref="A134:P135"/>
    <mergeCell ref="A129:P129"/>
    <mergeCell ref="A12:H12"/>
    <mergeCell ref="K67:M67"/>
    <mergeCell ref="D68:G68"/>
    <mergeCell ref="N68:P68"/>
    <mergeCell ref="J70:P70"/>
    <mergeCell ref="A43:P43"/>
    <mergeCell ref="A44:P44"/>
    <mergeCell ref="A67:C67"/>
    <mergeCell ref="A60:P60"/>
    <mergeCell ref="A64:P64"/>
    <mergeCell ref="N67:P67"/>
    <mergeCell ref="D67:G67"/>
    <mergeCell ref="A93:P93"/>
    <mergeCell ref="A87:P87"/>
    <mergeCell ref="A95:P95"/>
    <mergeCell ref="A88:P88"/>
    <mergeCell ref="A92:P92"/>
    <mergeCell ref="A96:P96"/>
  </mergeCells>
  <conditionalFormatting sqref="R117">
    <cfRule type="iconSet" priority="2">
      <iconSet iconSet="3Symbols2">
        <cfvo type="percent" val="0"/>
        <cfvo type="percent" val="33"/>
        <cfvo type="percent" val="67"/>
      </iconSet>
    </cfRule>
  </conditionalFormatting>
  <pageMargins left="0.37" right="0.2" top="0.21" bottom="0.15748031496062992" header="0.31496062992125984" footer="0.31496062992125984"/>
  <pageSetup paperSize="9" scale="5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2:X66"/>
  <sheetViews>
    <sheetView showZeros="0" zoomScale="80" zoomScaleNormal="80" workbookViewId="0">
      <selection activeCell="K3" sqref="K3"/>
    </sheetView>
  </sheetViews>
  <sheetFormatPr defaultRowHeight="15" x14ac:dyDescent="0.25"/>
  <cols>
    <col min="1" max="1" width="10.42578125" customWidth="1"/>
    <col min="6" max="6" width="18" customWidth="1"/>
    <col min="7" max="7" width="13.28515625" customWidth="1"/>
    <col min="8" max="8" width="9.42578125" customWidth="1"/>
    <col min="9" max="9" width="8.5703125" customWidth="1"/>
    <col min="10" max="10" width="10.42578125" customWidth="1"/>
    <col min="11" max="11" width="11.7109375" customWidth="1"/>
    <col min="13" max="13" width="16" bestFit="1" customWidth="1"/>
    <col min="15" max="15" width="16.85546875" customWidth="1"/>
    <col min="16" max="16" width="6.42578125" customWidth="1"/>
    <col min="17" max="17" width="20.140625" customWidth="1"/>
  </cols>
  <sheetData>
    <row r="2" spans="1:22" ht="27" thickBot="1" x14ac:dyDescent="0.45">
      <c r="A2" s="348" t="s">
        <v>71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</row>
    <row r="3" spans="1:22" ht="21.75" thickBot="1" x14ac:dyDescent="0.4">
      <c r="A3" s="354"/>
      <c r="B3" s="354"/>
      <c r="C3" s="354"/>
      <c r="D3" s="354"/>
      <c r="E3" s="354"/>
      <c r="F3" s="354"/>
      <c r="G3" s="354"/>
      <c r="H3" s="354"/>
      <c r="I3" s="5" t="str">
        <f>Дог.!I10</f>
        <v xml:space="preserve"> № </v>
      </c>
      <c r="J3" s="216">
        <f ca="1">Дог.!J10</f>
        <v>9</v>
      </c>
      <c r="K3" s="217">
        <f ca="1">Дог.!K10</f>
        <v>1</v>
      </c>
      <c r="L3" s="217">
        <f ca="1">Дог.!L10</f>
        <v>2026</v>
      </c>
      <c r="M3" s="223">
        <f ca="1">Дог.!M10</f>
        <v>46031.871582060186</v>
      </c>
      <c r="N3" s="224">
        <f>Дог.!N10</f>
        <v>1</v>
      </c>
      <c r="O3" s="2"/>
    </row>
    <row r="4" spans="1:22" ht="21" x14ac:dyDescent="0.35">
      <c r="A4" s="7"/>
      <c r="B4" s="7"/>
      <c r="C4" s="7"/>
      <c r="D4" s="7"/>
      <c r="E4" s="7"/>
      <c r="F4" s="7"/>
      <c r="G4" s="7"/>
      <c r="H4" s="7"/>
      <c r="I4" s="5"/>
      <c r="J4" s="5"/>
      <c r="K4" s="5"/>
      <c r="L4" s="5"/>
      <c r="M4" s="5"/>
      <c r="N4" s="2"/>
      <c r="O4" s="2"/>
    </row>
    <row r="5" spans="1:22" ht="21" x14ac:dyDescent="0.35">
      <c r="A5" s="1"/>
      <c r="B5" s="275" t="s">
        <v>11</v>
      </c>
      <c r="C5" s="275"/>
      <c r="D5" s="275"/>
      <c r="E5" s="275"/>
      <c r="F5" s="1"/>
      <c r="G5" s="1"/>
      <c r="H5" s="1"/>
      <c r="I5" s="7" t="s">
        <v>24</v>
      </c>
      <c r="J5" s="5">
        <f ca="1">Дог.!J13</f>
        <v>9</v>
      </c>
      <c r="K5" s="6" t="s">
        <v>23</v>
      </c>
      <c r="L5" s="317" t="str">
        <f ca="1">Дог.!L13</f>
        <v>Январь</v>
      </c>
      <c r="M5" s="317"/>
      <c r="N5" s="1">
        <f ca="1">Дог.!N13</f>
        <v>2026</v>
      </c>
      <c r="O5" s="1" t="s">
        <v>94</v>
      </c>
    </row>
    <row r="6" spans="1:22" ht="21" customHeight="1" x14ac:dyDescent="0.35">
      <c r="A6" s="302" t="str">
        <f>Дог.!A14</f>
        <v xml:space="preserve"> Зинченко Михаил Александрович</v>
      </c>
      <c r="B6" s="302"/>
      <c r="C6" s="302"/>
      <c r="D6" s="302"/>
      <c r="E6" s="302"/>
      <c r="F6" s="302"/>
      <c r="G6" s="353" t="str">
        <f>Дог.!G14</f>
        <v>22.12.2006 года рождения, паспорт: ID3219844 выдан MKK 218011 от 12.02.2023 г.</v>
      </c>
      <c r="H6" s="353"/>
      <c r="I6" s="353"/>
      <c r="J6" s="353"/>
      <c r="K6" s="353"/>
      <c r="L6" s="353"/>
      <c r="M6" s="353"/>
      <c r="N6" s="353"/>
      <c r="O6" s="353"/>
      <c r="P6" s="353"/>
      <c r="Q6" s="353"/>
      <c r="U6" s="31"/>
      <c r="V6" s="31"/>
    </row>
    <row r="7" spans="1:22" ht="21" customHeight="1" x14ac:dyDescent="0.35">
      <c r="A7" s="350" t="str">
        <f>Дог.!A15</f>
        <v>зарегистрированный по адресу город Бишкек, улица Ялтинская 56/1, действующий на основании Свидетельства о государственной</v>
      </c>
      <c r="B7" s="350"/>
      <c r="C7" s="350"/>
      <c r="D7" s="350"/>
      <c r="E7" s="350"/>
      <c r="F7" s="350"/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</row>
    <row r="8" spans="1:22" ht="21" customHeight="1" x14ac:dyDescent="0.35">
      <c r="A8" s="350" t="str">
        <f>Дог.!A16</f>
        <v>регистрации индивидуального предпринимателя по Свердловскому району г. Бишкек № 003-2024-169-5930 от 08.08.2024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22" ht="21" customHeight="1" x14ac:dyDescent="0.25">
      <c r="A9" s="349" t="str">
        <f>Дог.!A17</f>
        <v>ИНН:</v>
      </c>
      <c r="B9" s="349"/>
      <c r="C9" s="300">
        <f>Дог.!C17</f>
        <v>22212200650516</v>
      </c>
      <c r="D9" s="349"/>
      <c r="E9" s="349"/>
      <c r="F9" s="349"/>
      <c r="G9" s="349"/>
      <c r="H9" s="349" t="s">
        <v>84</v>
      </c>
      <c r="I9" s="349"/>
      <c r="J9" s="349"/>
      <c r="K9" s="349"/>
      <c r="L9" s="349"/>
      <c r="M9" s="349"/>
      <c r="N9" s="349"/>
      <c r="O9" s="349"/>
      <c r="P9" s="349"/>
      <c r="Q9" s="349"/>
    </row>
    <row r="10" spans="1:22" ht="21" customHeight="1" x14ac:dyDescent="0.35">
      <c r="A10" s="351" t="str">
        <f>Дог.!A18</f>
        <v>ХХХХ ХХХХ ХХХХ</v>
      </c>
      <c r="B10" s="351"/>
      <c r="C10" s="351"/>
      <c r="D10" s="351"/>
      <c r="E10" s="351"/>
      <c r="F10" s="351"/>
      <c r="G10" s="351"/>
      <c r="H10" s="351"/>
      <c r="I10" s="349" t="s">
        <v>72</v>
      </c>
      <c r="J10" s="349"/>
      <c r="K10" s="349"/>
      <c r="L10" s="349"/>
      <c r="M10" s="349"/>
      <c r="N10" s="349"/>
      <c r="O10" s="349"/>
      <c r="P10" s="349"/>
      <c r="Q10" s="349"/>
    </row>
    <row r="11" spans="1:22" ht="21" customHeight="1" x14ac:dyDescent="0.35">
      <c r="A11" s="350" t="str">
        <f>Дог.!A19</f>
        <v xml:space="preserve"> на основании паспорта:</v>
      </c>
      <c r="B11" s="350"/>
      <c r="C11" s="350"/>
      <c r="D11" s="350"/>
      <c r="E11" s="17" t="str">
        <f>Дог.!E19</f>
        <v>ХХХ</v>
      </c>
      <c r="F11" s="17" t="str">
        <f>Дог.!F19</f>
        <v>№</v>
      </c>
      <c r="G11" s="352" t="str">
        <f>Дог.!G19</f>
        <v>ХХХХХ</v>
      </c>
      <c r="H11" s="352"/>
      <c r="I11" s="14" t="str">
        <f>Дог.!I19</f>
        <v>выдан</v>
      </c>
      <c r="J11" s="17" t="str">
        <f>Дог.!J19</f>
        <v>МКК</v>
      </c>
      <c r="K11" s="17" t="str">
        <f>Дог.!K19</f>
        <v>ХХХХ</v>
      </c>
      <c r="L11" s="17" t="str">
        <f>Дог.!L19</f>
        <v>от</v>
      </c>
      <c r="M11" s="99" t="str">
        <f>Дог.!M19</f>
        <v>ХХХХ</v>
      </c>
      <c r="N11" s="350" t="str">
        <f>Дог.!N19</f>
        <v>зарегистрированный(-ая)</v>
      </c>
      <c r="O11" s="350"/>
      <c r="P11" s="350"/>
      <c r="Q11" s="350"/>
    </row>
    <row r="12" spans="1:22" ht="21" customHeight="1" x14ac:dyDescent="0.25">
      <c r="A12" s="349" t="s">
        <v>36</v>
      </c>
      <c r="B12" s="349"/>
      <c r="C12" s="298" t="str">
        <f>Дог.!C20</f>
        <v>Чуйская область г. Бишкек</v>
      </c>
      <c r="D12" s="298"/>
      <c r="E12" s="298"/>
      <c r="F12" s="298"/>
      <c r="G12" s="298"/>
      <c r="H12" s="298"/>
      <c r="I12" s="298" t="str">
        <f>Дог.!J20</f>
        <v>ул. ХХХХХ</v>
      </c>
      <c r="J12" s="298"/>
      <c r="K12" s="298"/>
      <c r="L12" s="298"/>
      <c r="M12" s="298"/>
      <c r="N12" s="349" t="s">
        <v>37</v>
      </c>
      <c r="O12" s="349"/>
      <c r="P12" s="349"/>
      <c r="Q12" s="349"/>
    </row>
    <row r="13" spans="1:22" ht="21" customHeight="1" x14ac:dyDescent="0.25">
      <c r="A13" s="298" t="str">
        <f>Дог.!A21</f>
        <v>Чуйская область г. Бишкек</v>
      </c>
      <c r="B13" s="298"/>
      <c r="C13" s="298"/>
      <c r="D13" s="298"/>
      <c r="E13" s="298"/>
      <c r="F13" s="298"/>
      <c r="G13" s="298"/>
      <c r="H13" s="298" t="str">
        <f>Дог.!I21</f>
        <v>ул. ХХХХХ</v>
      </c>
      <c r="I13" s="298"/>
      <c r="J13" s="298"/>
      <c r="K13" s="298"/>
      <c r="L13" s="298"/>
      <c r="M13" s="298"/>
      <c r="N13" s="298"/>
      <c r="O13" s="298"/>
      <c r="P13" s="298"/>
      <c r="Q13" s="298"/>
    </row>
    <row r="14" spans="1:22" ht="21" customHeight="1" x14ac:dyDescent="0.25">
      <c r="A14" s="298" t="s">
        <v>258</v>
      </c>
      <c r="B14" s="298"/>
      <c r="C14" s="301" t="str">
        <f>Дог.!C22</f>
        <v>ХХХХ</v>
      </c>
      <c r="D14" s="301"/>
      <c r="E14" s="301"/>
      <c r="F14" s="301"/>
      <c r="G14" s="298" t="s">
        <v>39</v>
      </c>
      <c r="H14" s="298"/>
      <c r="I14" s="298"/>
      <c r="J14" s="298"/>
      <c r="K14" s="298">
        <f>Дог.!K22</f>
        <v>0</v>
      </c>
      <c r="L14" s="298"/>
      <c r="M14" s="298"/>
      <c r="N14" s="298"/>
      <c r="O14" s="298"/>
      <c r="P14" s="298"/>
      <c r="Q14" s="20"/>
    </row>
    <row r="15" spans="1:22" ht="21.75" thickBot="1" x14ac:dyDescent="0.4">
      <c r="A15" s="276" t="s">
        <v>46</v>
      </c>
      <c r="B15" s="276"/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</row>
    <row r="16" spans="1:22" ht="21.75" thickBot="1" x14ac:dyDescent="0.4">
      <c r="A16" s="276" t="s">
        <v>47</v>
      </c>
      <c r="B16" s="276"/>
      <c r="C16" s="276"/>
      <c r="D16" s="276"/>
      <c r="E16" s="5" t="s">
        <v>12</v>
      </c>
      <c r="F16" s="216">
        <f ca="1">J3</f>
        <v>9</v>
      </c>
      <c r="G16" s="217">
        <f ca="1">K3</f>
        <v>1</v>
      </c>
      <c r="H16" s="217">
        <f ca="1">L3</f>
        <v>2026</v>
      </c>
      <c r="I16" s="223">
        <f ca="1">M3</f>
        <v>46031.871582060186</v>
      </c>
      <c r="J16" s="218">
        <f>N3</f>
        <v>1</v>
      </c>
      <c r="K16" s="3" t="s">
        <v>75</v>
      </c>
      <c r="L16" s="3"/>
      <c r="M16" s="3"/>
      <c r="N16" s="3"/>
      <c r="O16" s="3"/>
      <c r="P16" s="3"/>
      <c r="Q16" s="3"/>
    </row>
    <row r="17" spans="1:24" ht="21.75" thickBot="1" x14ac:dyDescent="0.4">
      <c r="A17" s="276" t="s">
        <v>25</v>
      </c>
      <c r="B17" s="276"/>
      <c r="C17" s="276"/>
      <c r="D17" s="276"/>
      <c r="E17" s="276"/>
      <c r="F17" s="276"/>
      <c r="G17" s="276"/>
      <c r="H17" s="276"/>
      <c r="I17" s="276"/>
      <c r="J17" s="276"/>
      <c r="K17" s="5" t="s">
        <v>12</v>
      </c>
      <c r="L17" s="216">
        <f ca="1">F16</f>
        <v>9</v>
      </c>
      <c r="M17" s="217">
        <f ca="1">G16</f>
        <v>1</v>
      </c>
      <c r="N17" s="217">
        <f ca="1">H16</f>
        <v>2026</v>
      </c>
      <c r="O17" s="223">
        <f ca="1">I16</f>
        <v>46031.871582060186</v>
      </c>
      <c r="P17" s="218">
        <f>N3</f>
        <v>1</v>
      </c>
      <c r="Q17" s="13" t="s">
        <v>536</v>
      </c>
      <c r="X17" s="31"/>
    </row>
    <row r="18" spans="1:24" ht="21" x14ac:dyDescent="0.35">
      <c r="A18" s="293" t="s">
        <v>537</v>
      </c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</row>
    <row r="19" spans="1:24" ht="72.75" customHeight="1" x14ac:dyDescent="0.25">
      <c r="A19" s="26" t="s">
        <v>12</v>
      </c>
      <c r="B19" s="340" t="s">
        <v>376</v>
      </c>
      <c r="C19" s="341"/>
      <c r="D19" s="341"/>
      <c r="E19" s="341"/>
      <c r="F19" s="64" t="s">
        <v>493</v>
      </c>
      <c r="G19" s="337" t="s">
        <v>495</v>
      </c>
      <c r="H19" s="338"/>
      <c r="I19" s="64" t="s">
        <v>54</v>
      </c>
      <c r="J19" s="331" t="s">
        <v>349</v>
      </c>
      <c r="K19" s="331"/>
      <c r="L19" s="331" t="s">
        <v>496</v>
      </c>
      <c r="M19" s="331"/>
      <c r="N19" s="331" t="s">
        <v>350</v>
      </c>
      <c r="O19" s="331"/>
      <c r="P19" s="331" t="s">
        <v>661</v>
      </c>
      <c r="Q19" s="331"/>
    </row>
    <row r="20" spans="1:24" ht="21" customHeight="1" x14ac:dyDescent="0.35">
      <c r="A20" s="336">
        <v>1</v>
      </c>
      <c r="B20" s="342" t="str">
        <f>Дог.!A12</f>
        <v>XXXXXXX</v>
      </c>
      <c r="C20" s="343"/>
      <c r="D20" s="343"/>
      <c r="E20" s="343"/>
      <c r="F20" s="347"/>
      <c r="G20" s="328"/>
      <c r="H20" s="328"/>
      <c r="I20" s="326">
        <v>1</v>
      </c>
      <c r="J20" s="332">
        <f ca="1">NOW()</f>
        <v>46031.871582060186</v>
      </c>
      <c r="K20" s="332"/>
      <c r="L20" s="332">
        <f ca="1">J20</f>
        <v>46031.871582060186</v>
      </c>
      <c r="M20" s="332"/>
      <c r="N20" s="334">
        <v>1500</v>
      </c>
      <c r="O20" s="335"/>
      <c r="P20" s="334">
        <v>3000</v>
      </c>
      <c r="Q20" s="335"/>
    </row>
    <row r="21" spans="1:24" ht="21" customHeight="1" x14ac:dyDescent="0.35">
      <c r="A21" s="330"/>
      <c r="B21" s="344"/>
      <c r="C21" s="345"/>
      <c r="D21" s="345"/>
      <c r="E21" s="345"/>
      <c r="F21" s="347"/>
      <c r="G21" s="328"/>
      <c r="H21" s="328"/>
      <c r="I21" s="327"/>
      <c r="J21" s="325">
        <f ca="1">DATE(L3,K3,J3)</f>
        <v>46031</v>
      </c>
      <c r="K21" s="325"/>
      <c r="L21" s="325">
        <f ca="1">J21+1</f>
        <v>46032</v>
      </c>
      <c r="M21" s="339"/>
      <c r="N21" s="323"/>
      <c r="O21" s="324"/>
      <c r="P21" s="323"/>
      <c r="Q21" s="324"/>
    </row>
    <row r="22" spans="1:24" ht="21" customHeight="1" x14ac:dyDescent="0.35">
      <c r="A22" s="329">
        <v>2</v>
      </c>
      <c r="B22" s="342"/>
      <c r="C22" s="343"/>
      <c r="D22" s="343"/>
      <c r="E22" s="343"/>
      <c r="F22" s="347"/>
      <c r="G22" s="328"/>
      <c r="H22" s="328"/>
      <c r="I22" s="326"/>
      <c r="J22" s="333" t="str">
        <f>IF(LEN(B22),J20,"")</f>
        <v/>
      </c>
      <c r="K22" s="333"/>
      <c r="L22" s="333" t="str">
        <f t="shared" ref="L22:L28" si="0">J22</f>
        <v/>
      </c>
      <c r="M22" s="333"/>
      <c r="N22" s="321"/>
      <c r="O22" s="322"/>
      <c r="P22" s="321"/>
      <c r="Q22" s="322"/>
    </row>
    <row r="23" spans="1:24" ht="21" customHeight="1" x14ac:dyDescent="0.35">
      <c r="A23" s="330"/>
      <c r="B23" s="344"/>
      <c r="C23" s="345"/>
      <c r="D23" s="345"/>
      <c r="E23" s="345"/>
      <c r="F23" s="347"/>
      <c r="G23" s="328"/>
      <c r="H23" s="328"/>
      <c r="I23" s="327"/>
      <c r="J23" s="325" t="str">
        <f>IF(LEN(B22),J21,"")</f>
        <v/>
      </c>
      <c r="K23" s="325"/>
      <c r="L23" s="325" t="str">
        <f>IF(LEN(B22),L21,"")</f>
        <v/>
      </c>
      <c r="M23" s="325"/>
      <c r="N23" s="323"/>
      <c r="O23" s="324"/>
      <c r="P23" s="323"/>
      <c r="Q23" s="324"/>
    </row>
    <row r="24" spans="1:24" ht="21" customHeight="1" x14ac:dyDescent="0.35">
      <c r="A24" s="329">
        <v>3</v>
      </c>
      <c r="B24" s="342"/>
      <c r="C24" s="343"/>
      <c r="D24" s="343"/>
      <c r="E24" s="343"/>
      <c r="F24" s="347"/>
      <c r="G24" s="328"/>
      <c r="H24" s="328"/>
      <c r="I24" s="326"/>
      <c r="J24" s="333" t="str">
        <f>IF(LEN(B24),J20,"")</f>
        <v/>
      </c>
      <c r="K24" s="333"/>
      <c r="L24" s="333" t="str">
        <f t="shared" si="0"/>
        <v/>
      </c>
      <c r="M24" s="333"/>
      <c r="N24" s="321"/>
      <c r="O24" s="322"/>
      <c r="P24" s="321"/>
      <c r="Q24" s="322"/>
    </row>
    <row r="25" spans="1:24" ht="21" customHeight="1" x14ac:dyDescent="0.35">
      <c r="A25" s="330"/>
      <c r="B25" s="344"/>
      <c r="C25" s="345"/>
      <c r="D25" s="345"/>
      <c r="E25" s="345"/>
      <c r="F25" s="347"/>
      <c r="G25" s="328"/>
      <c r="H25" s="328"/>
      <c r="I25" s="327"/>
      <c r="J25" s="325" t="str">
        <f>IF(LEN(B24),J21,"")</f>
        <v/>
      </c>
      <c r="K25" s="325"/>
      <c r="L25" s="325" t="str">
        <f>IF(LEN(B24),L21,"")</f>
        <v/>
      </c>
      <c r="M25" s="325"/>
      <c r="N25" s="323"/>
      <c r="O25" s="324"/>
      <c r="P25" s="323"/>
      <c r="Q25" s="324"/>
    </row>
    <row r="26" spans="1:24" ht="21" customHeight="1" x14ac:dyDescent="0.35">
      <c r="A26" s="328">
        <v>4</v>
      </c>
      <c r="B26" s="346"/>
      <c r="C26" s="346"/>
      <c r="D26" s="346"/>
      <c r="E26" s="346"/>
      <c r="F26" s="347"/>
      <c r="G26" s="328"/>
      <c r="H26" s="328"/>
      <c r="I26" s="328"/>
      <c r="J26" s="333" t="str">
        <f>IF(LEN(B26),J20,"")</f>
        <v/>
      </c>
      <c r="K26" s="333"/>
      <c r="L26" s="333" t="str">
        <f t="shared" si="0"/>
        <v/>
      </c>
      <c r="M26" s="333"/>
      <c r="N26" s="321"/>
      <c r="O26" s="322"/>
      <c r="P26" s="321"/>
      <c r="Q26" s="322"/>
    </row>
    <row r="27" spans="1:24" ht="21" customHeight="1" x14ac:dyDescent="0.35">
      <c r="A27" s="328"/>
      <c r="B27" s="346"/>
      <c r="C27" s="346"/>
      <c r="D27" s="346"/>
      <c r="E27" s="346"/>
      <c r="F27" s="347"/>
      <c r="G27" s="328"/>
      <c r="H27" s="328"/>
      <c r="I27" s="328"/>
      <c r="J27" s="325" t="str">
        <f>IF(LEN(B26),J21,"")</f>
        <v/>
      </c>
      <c r="K27" s="325"/>
      <c r="L27" s="325" t="str">
        <f>IF(LEN(B26),L21,"")</f>
        <v/>
      </c>
      <c r="M27" s="325"/>
      <c r="N27" s="323"/>
      <c r="O27" s="324"/>
      <c r="P27" s="323"/>
      <c r="Q27" s="324"/>
    </row>
    <row r="28" spans="1:24" ht="21" x14ac:dyDescent="0.35">
      <c r="A28" s="328">
        <v>5</v>
      </c>
      <c r="B28" s="346"/>
      <c r="C28" s="346"/>
      <c r="D28" s="346"/>
      <c r="E28" s="346"/>
      <c r="F28" s="347"/>
      <c r="G28" s="328"/>
      <c r="H28" s="328"/>
      <c r="I28" s="328"/>
      <c r="J28" s="333" t="str">
        <f>IF(LEN(B28),J20,"")</f>
        <v/>
      </c>
      <c r="K28" s="333"/>
      <c r="L28" s="333" t="str">
        <f t="shared" si="0"/>
        <v/>
      </c>
      <c r="M28" s="333"/>
      <c r="N28" s="321"/>
      <c r="O28" s="322"/>
      <c r="P28" s="321"/>
      <c r="Q28" s="322"/>
    </row>
    <row r="29" spans="1:24" ht="21" x14ac:dyDescent="0.35">
      <c r="A29" s="328"/>
      <c r="B29" s="346"/>
      <c r="C29" s="346"/>
      <c r="D29" s="346"/>
      <c r="E29" s="346"/>
      <c r="F29" s="347"/>
      <c r="G29" s="328"/>
      <c r="H29" s="328"/>
      <c r="I29" s="328"/>
      <c r="J29" s="325" t="str">
        <f>IF(LEN(B28),J21,"")</f>
        <v/>
      </c>
      <c r="K29" s="325"/>
      <c r="L29" s="325" t="str">
        <f>IF(LEN(B28),L21,"")</f>
        <v/>
      </c>
      <c r="M29" s="325"/>
      <c r="N29" s="323"/>
      <c r="O29" s="324"/>
      <c r="P29" s="323"/>
      <c r="Q29" s="324"/>
    </row>
    <row r="30" spans="1:24" ht="21" x14ac:dyDescent="0.35">
      <c r="A30" s="339"/>
      <c r="B30" s="339"/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339"/>
      <c r="N30" s="355" t="s">
        <v>14</v>
      </c>
      <c r="O30" s="355"/>
      <c r="P30" s="355">
        <f>SUM(P20:Q29)</f>
        <v>3000</v>
      </c>
      <c r="Q30" s="355"/>
    </row>
    <row r="31" spans="1:24" ht="21" x14ac:dyDescent="0.35">
      <c r="A31" s="371" t="s">
        <v>426</v>
      </c>
      <c r="B31" s="371"/>
      <c r="C31" s="371"/>
      <c r="D31" s="371"/>
      <c r="E31" s="371"/>
      <c r="F31" s="371"/>
      <c r="G31" s="371"/>
      <c r="H31" s="371"/>
      <c r="I31" s="371"/>
      <c r="J31" s="371"/>
      <c r="K31" s="372">
        <f ca="1">L20</f>
        <v>46031.871582060186</v>
      </c>
      <c r="L31" s="373"/>
      <c r="M31" s="145">
        <f ca="1">L21</f>
        <v>46032</v>
      </c>
      <c r="N31" s="82"/>
      <c r="O31" s="119" t="s">
        <v>323</v>
      </c>
      <c r="P31" s="356" t="s">
        <v>328</v>
      </c>
      <c r="Q31" s="357"/>
    </row>
    <row r="32" spans="1:24" ht="21" x14ac:dyDescent="0.35">
      <c r="A32" s="290" t="s">
        <v>378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82"/>
      <c r="O32" s="368" t="s">
        <v>255</v>
      </c>
      <c r="P32" s="369"/>
      <c r="Q32" s="370"/>
    </row>
    <row r="33" spans="1:17" ht="21" x14ac:dyDescent="0.35">
      <c r="A33" s="290" t="s">
        <v>494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82"/>
      <c r="O33" s="367" t="s">
        <v>95</v>
      </c>
      <c r="P33" s="367"/>
      <c r="Q33" s="84" t="s">
        <v>113</v>
      </c>
    </row>
    <row r="34" spans="1:17" ht="21" x14ac:dyDescent="0.35">
      <c r="A34" s="290" t="str">
        <f>IF(LEN(P31),N34,"")</f>
        <v>4. Арендатор добровольно передает личный паспорт гражданина в залог за арендуемое оборудование.</v>
      </c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121" t="s">
        <v>379</v>
      </c>
      <c r="O34" s="355"/>
      <c r="P34" s="355"/>
      <c r="Q34" s="83"/>
    </row>
    <row r="35" spans="1:17" ht="21" x14ac:dyDescent="0.35">
      <c r="A35" s="290" t="s">
        <v>380</v>
      </c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355"/>
      <c r="P35" s="355"/>
      <c r="Q35" s="83"/>
    </row>
    <row r="36" spans="1:17" ht="21" x14ac:dyDescent="0.35">
      <c r="A36" s="293" t="s">
        <v>381</v>
      </c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55"/>
      <c r="P36" s="355"/>
      <c r="Q36" s="83"/>
    </row>
    <row r="37" spans="1:17" ht="21" x14ac:dyDescent="0.35">
      <c r="A37" s="276"/>
      <c r="B37" s="276"/>
      <c r="C37" s="276"/>
      <c r="D37" s="351" t="s">
        <v>48</v>
      </c>
      <c r="E37" s="351"/>
      <c r="F37" s="351"/>
      <c r="G37" s="351"/>
      <c r="H37" s="351" t="str">
        <f>Дог.!L8</f>
        <v>ул. Лермонтова д.№ 68</v>
      </c>
      <c r="I37" s="351"/>
      <c r="J37" s="351"/>
      <c r="K37" s="351"/>
      <c r="L37" s="2"/>
      <c r="M37" s="2"/>
      <c r="N37" s="2"/>
      <c r="O37" s="355"/>
      <c r="P37" s="355"/>
      <c r="Q37" s="83"/>
    </row>
    <row r="38" spans="1:17" ht="21" x14ac:dyDescent="0.35">
      <c r="A38" s="275" t="s">
        <v>658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355"/>
      <c r="P38" s="355"/>
      <c r="Q38" s="83"/>
    </row>
    <row r="39" spans="1:17" ht="21" x14ac:dyDescent="0.35">
      <c r="A39" s="290" t="s">
        <v>660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</row>
    <row r="40" spans="1:17" ht="21" x14ac:dyDescent="0.35">
      <c r="A40" s="290" t="s">
        <v>659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</row>
    <row r="41" spans="1:17" ht="21" x14ac:dyDescent="0.35">
      <c r="A41" s="290" t="s">
        <v>538</v>
      </c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</row>
    <row r="42" spans="1:17" ht="21" x14ac:dyDescent="0.35">
      <c r="A42" s="289" t="s">
        <v>653</v>
      </c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359">
        <f>P30</f>
        <v>3000</v>
      </c>
      <c r="N42" s="359"/>
      <c r="O42" s="360" t="s">
        <v>539</v>
      </c>
      <c r="P42" s="360"/>
      <c r="Q42" s="360"/>
    </row>
    <row r="43" spans="1:17" ht="21" x14ac:dyDescent="0.35">
      <c r="A43" s="289" t="s">
        <v>655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</row>
    <row r="44" spans="1:17" ht="21" x14ac:dyDescent="0.35">
      <c r="A44" s="289" t="s">
        <v>654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374"/>
      <c r="P44" s="374"/>
      <c r="Q44" s="230"/>
    </row>
    <row r="45" spans="1:17" ht="21" x14ac:dyDescent="0.35">
      <c r="A45" s="358" t="s">
        <v>657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</row>
    <row r="46" spans="1:17" ht="21" x14ac:dyDescent="0.35">
      <c r="A46" s="358" t="s">
        <v>656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</row>
    <row r="47" spans="1:17" ht="21" x14ac:dyDescent="0.35">
      <c r="A47" s="293" t="s">
        <v>540</v>
      </c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</row>
    <row r="48" spans="1:17" ht="21" x14ac:dyDescent="0.35">
      <c r="A48" s="275" t="s">
        <v>6</v>
      </c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</row>
    <row r="49" spans="1:17" ht="21" x14ac:dyDescent="0.35">
      <c r="A49" s="275" t="s">
        <v>45</v>
      </c>
      <c r="B49" s="275"/>
      <c r="C49" s="275"/>
      <c r="D49" s="275"/>
      <c r="E49" s="275"/>
      <c r="F49" s="275"/>
      <c r="G49" s="275"/>
      <c r="H49" s="1"/>
      <c r="I49" s="1"/>
      <c r="J49" s="275" t="s">
        <v>44</v>
      </c>
      <c r="K49" s="275"/>
      <c r="L49" s="275"/>
      <c r="M49" s="275"/>
      <c r="N49" s="275"/>
      <c r="O49" s="275"/>
      <c r="P49" s="275"/>
    </row>
    <row r="50" spans="1:17" ht="21" x14ac:dyDescent="0.35">
      <c r="A50" s="3" t="s">
        <v>10</v>
      </c>
      <c r="B50" s="290" t="str">
        <f>Дог.!A14</f>
        <v xml:space="preserve"> Зинченко Михаил Александрович</v>
      </c>
      <c r="C50" s="290"/>
      <c r="D50" s="290"/>
      <c r="E50" s="290"/>
      <c r="F50" s="290"/>
      <c r="G50" s="290"/>
      <c r="H50" s="3"/>
      <c r="I50" s="3"/>
      <c r="J50" s="290" t="str">
        <f>A50</f>
        <v>Ф.И.О.:</v>
      </c>
      <c r="K50" s="290"/>
      <c r="L50" s="290" t="str">
        <f>A10</f>
        <v>ХХХХ ХХХХ ХХХХ</v>
      </c>
      <c r="M50" s="290"/>
      <c r="N50" s="290"/>
      <c r="O50" s="290"/>
      <c r="P50" s="290"/>
      <c r="Q50" s="290"/>
    </row>
    <row r="51" spans="1:17" ht="21" x14ac:dyDescent="0.35">
      <c r="A51" s="3" t="s">
        <v>28</v>
      </c>
      <c r="B51" s="363">
        <f>Дог.!C17</f>
        <v>22212200650516</v>
      </c>
      <c r="C51" s="363"/>
      <c r="D51" s="363"/>
      <c r="E51" s="363"/>
      <c r="F51" s="363"/>
      <c r="G51" s="363"/>
      <c r="H51" s="3"/>
      <c r="I51" s="12"/>
      <c r="J51" s="363" t="s">
        <v>258</v>
      </c>
      <c r="K51" s="363"/>
      <c r="L51" s="363" t="str">
        <f>C14</f>
        <v>ХХХХ</v>
      </c>
      <c r="M51" s="363"/>
      <c r="N51" s="363"/>
      <c r="O51" s="363"/>
      <c r="P51" s="363"/>
    </row>
    <row r="52" spans="1:17" ht="21" x14ac:dyDescent="0.35">
      <c r="A52" s="290" t="s">
        <v>29</v>
      </c>
      <c r="B52" s="290"/>
      <c r="C52" s="13" t="s">
        <v>257</v>
      </c>
      <c r="D52" s="13" t="s">
        <v>12</v>
      </c>
      <c r="E52" s="290">
        <v>3219844</v>
      </c>
      <c r="F52" s="290"/>
      <c r="G52" s="290"/>
      <c r="H52" s="3"/>
      <c r="I52" s="3"/>
      <c r="J52" s="290" t="str">
        <f>A52</f>
        <v>Паспорт:</v>
      </c>
      <c r="K52" s="290"/>
      <c r="L52" s="3" t="str">
        <f>E11</f>
        <v>ХХХ</v>
      </c>
      <c r="M52" s="13" t="str">
        <f>F11</f>
        <v>№</v>
      </c>
      <c r="N52" s="290" t="str">
        <f>G11</f>
        <v>ХХХХХ</v>
      </c>
      <c r="O52" s="290"/>
      <c r="P52" s="3"/>
      <c r="Q52" s="3"/>
    </row>
    <row r="53" spans="1:17" ht="21" x14ac:dyDescent="0.35">
      <c r="A53" s="290" t="s">
        <v>30</v>
      </c>
      <c r="B53" s="290"/>
      <c r="C53" s="290" t="s">
        <v>795</v>
      </c>
      <c r="D53" s="290"/>
      <c r="E53" s="290"/>
      <c r="F53" s="290"/>
      <c r="G53" s="290"/>
      <c r="H53" s="16"/>
      <c r="I53" s="3"/>
      <c r="J53" s="290" t="str">
        <f>A53</f>
        <v>Выдан:</v>
      </c>
      <c r="K53" s="290"/>
      <c r="L53" s="13" t="str">
        <f>J11</f>
        <v>МКК</v>
      </c>
      <c r="M53" s="13" t="str">
        <f>K11</f>
        <v>ХХХХ</v>
      </c>
      <c r="N53" s="13" t="str">
        <f>L11</f>
        <v>от</v>
      </c>
      <c r="O53" s="101" t="str">
        <f>M11</f>
        <v>ХХХХ</v>
      </c>
      <c r="P53" s="3"/>
    </row>
    <row r="54" spans="1:17" ht="21" x14ac:dyDescent="0.35">
      <c r="A54" s="290" t="s">
        <v>31</v>
      </c>
      <c r="B54" s="290"/>
      <c r="C54" s="290" t="s">
        <v>74</v>
      </c>
      <c r="D54" s="290"/>
      <c r="E54" s="290"/>
      <c r="F54" s="290"/>
      <c r="G54" s="290"/>
      <c r="H54" s="11"/>
      <c r="I54" s="3"/>
      <c r="J54" s="290" t="str">
        <f>A54</f>
        <v>Адрес:</v>
      </c>
      <c r="K54" s="290"/>
      <c r="L54" s="290" t="str">
        <f>C12</f>
        <v>Чуйская область г. Бишкек</v>
      </c>
      <c r="M54" s="290"/>
      <c r="N54" s="290"/>
      <c r="O54" s="290"/>
      <c r="P54" s="290"/>
      <c r="Q54" s="290"/>
    </row>
    <row r="55" spans="1:17" ht="21" x14ac:dyDescent="0.35">
      <c r="A55" s="290" t="s">
        <v>278</v>
      </c>
      <c r="B55" s="290"/>
      <c r="C55" s="290"/>
      <c r="D55" s="290"/>
      <c r="E55" s="290"/>
      <c r="F55" s="290"/>
      <c r="G55" s="290"/>
      <c r="H55" s="3"/>
      <c r="I55" s="3"/>
      <c r="J55" s="276" t="str">
        <f>I12</f>
        <v>ул. ХХХХХ</v>
      </c>
      <c r="K55" s="276"/>
      <c r="L55" s="276"/>
      <c r="M55" s="276"/>
      <c r="N55" s="276"/>
      <c r="O55" s="276"/>
      <c r="P55" s="276"/>
    </row>
    <row r="56" spans="1:17" ht="21" x14ac:dyDescent="0.35">
      <c r="A56" s="290" t="s">
        <v>32</v>
      </c>
      <c r="B56" s="290"/>
      <c r="C56" s="290"/>
      <c r="D56" s="290">
        <v>720051</v>
      </c>
      <c r="E56" s="290"/>
      <c r="F56" s="290"/>
      <c r="G56" s="290"/>
      <c r="H56" s="11"/>
      <c r="I56" s="3"/>
      <c r="J56" s="290" t="str">
        <f>A56</f>
        <v>Почтовый индекс:</v>
      </c>
      <c r="K56" s="290"/>
      <c r="L56" s="290"/>
      <c r="M56" s="290"/>
      <c r="N56" s="290"/>
      <c r="O56" s="3"/>
      <c r="P56" s="3"/>
    </row>
    <row r="57" spans="1:17" ht="21" x14ac:dyDescent="0.35">
      <c r="A57" s="290" t="s">
        <v>7</v>
      </c>
      <c r="B57" s="290"/>
      <c r="C57" s="290"/>
      <c r="D57" s="290"/>
      <c r="E57" s="290"/>
      <c r="F57" s="290"/>
      <c r="G57" s="290"/>
      <c r="H57" s="3"/>
      <c r="I57" s="3"/>
      <c r="J57" s="290" t="str">
        <f>A57</f>
        <v>Банковские реквизиты:</v>
      </c>
      <c r="K57" s="290"/>
      <c r="L57" s="290"/>
      <c r="M57" s="290"/>
      <c r="N57" s="290"/>
      <c r="O57" s="290"/>
      <c r="P57" s="290"/>
    </row>
    <row r="58" spans="1:17" ht="21" x14ac:dyDescent="0.35">
      <c r="A58" s="290" t="s">
        <v>796</v>
      </c>
      <c r="B58" s="290"/>
      <c r="C58" s="290"/>
      <c r="D58" s="290"/>
      <c r="E58" s="290"/>
      <c r="F58" s="290"/>
      <c r="G58" s="290"/>
      <c r="H58" s="3"/>
      <c r="I58" s="3"/>
      <c r="J58" s="290"/>
      <c r="K58" s="290"/>
      <c r="L58" s="290"/>
      <c r="M58" s="290"/>
      <c r="N58" s="290"/>
      <c r="O58" s="290"/>
      <c r="P58" s="290"/>
    </row>
    <row r="59" spans="1:17" ht="21" x14ac:dyDescent="0.35">
      <c r="A59" s="3" t="s">
        <v>49</v>
      </c>
      <c r="B59" s="364" t="s">
        <v>797</v>
      </c>
      <c r="C59" s="364"/>
      <c r="D59" s="364"/>
      <c r="E59" s="364"/>
      <c r="F59" s="364"/>
      <c r="G59" s="364"/>
      <c r="H59" s="3"/>
      <c r="I59" s="3"/>
      <c r="J59" s="3" t="str">
        <f>A59</f>
        <v>р/c:</v>
      </c>
      <c r="K59" s="363"/>
      <c r="L59" s="363"/>
      <c r="M59" s="363"/>
      <c r="N59" s="363"/>
      <c r="O59" s="363"/>
      <c r="P59" s="363"/>
    </row>
    <row r="60" spans="1:17" ht="21" x14ac:dyDescent="0.35">
      <c r="A60" s="3" t="s">
        <v>9</v>
      </c>
      <c r="B60" s="290">
        <v>103032</v>
      </c>
      <c r="C60" s="290"/>
      <c r="D60" s="290"/>
      <c r="E60" s="290"/>
      <c r="F60" s="290"/>
      <c r="G60" s="290"/>
      <c r="H60" s="3"/>
      <c r="I60" s="3"/>
      <c r="J60" s="3" t="str">
        <f>A60</f>
        <v>БИК:</v>
      </c>
      <c r="K60" s="290"/>
      <c r="L60" s="290"/>
      <c r="M60" s="290"/>
      <c r="N60" s="290"/>
      <c r="O60" s="290"/>
      <c r="P60" s="290"/>
    </row>
    <row r="61" spans="1:17" ht="21" x14ac:dyDescent="0.35">
      <c r="A61" s="290" t="s">
        <v>8</v>
      </c>
      <c r="B61" s="290"/>
      <c r="C61" s="290"/>
      <c r="D61" s="290"/>
      <c r="E61" s="290"/>
      <c r="F61" s="290"/>
      <c r="G61" s="290"/>
      <c r="H61" s="3"/>
      <c r="I61" s="3"/>
      <c r="J61" s="290" t="s">
        <v>245</v>
      </c>
      <c r="K61" s="290"/>
      <c r="L61" s="290"/>
      <c r="M61" s="290"/>
      <c r="N61" s="290"/>
      <c r="O61" s="290"/>
      <c r="P61" s="290"/>
    </row>
    <row r="62" spans="1:17" ht="21" x14ac:dyDescent="0.35">
      <c r="A62" s="3" t="s">
        <v>674</v>
      </c>
      <c r="B62" s="290">
        <v>33158934</v>
      </c>
      <c r="C62" s="290"/>
      <c r="D62" s="29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7" ht="21" x14ac:dyDescent="0.35">
      <c r="A63" s="276" t="str">
        <f>TRIM(SUBSTITUTE(LEFT(A6&amp;" ",SEARCH(" ",A6&amp;" ")+1)&amp;"."&amp; MID(A6&amp;" ",SEARCH(" ",A6&amp;" ",SEARCH(" ",A6&amp;" ")+1),2)&amp;"."," .",))</f>
        <v>З. М.</v>
      </c>
      <c r="B63" s="276"/>
      <c r="C63" s="276"/>
      <c r="D63" s="276" t="s">
        <v>33</v>
      </c>
      <c r="E63" s="276"/>
      <c r="F63" s="276"/>
      <c r="G63" s="3"/>
      <c r="H63" s="3"/>
      <c r="I63" s="3"/>
      <c r="J63" s="276" t="str">
        <f>TRIM(SUBSTITUTE(LEFT(A10&amp;" ",SEARCH(" ",A10&amp;" ")+1)&amp;"."&amp; MID(A10&amp;" ",SEARCH(" ",A10&amp;" ",SEARCH(" ",A10&amp;" ")+1),2)&amp;"."," .",))</f>
        <v>ХХХХ Х. Х.</v>
      </c>
      <c r="K63" s="276"/>
      <c r="L63" s="276"/>
      <c r="M63" s="290" t="s">
        <v>33</v>
      </c>
      <c r="N63" s="290"/>
      <c r="O63" s="290"/>
      <c r="P63" s="290"/>
    </row>
    <row r="64" spans="1:17" ht="21" x14ac:dyDescent="0.35">
      <c r="A64" s="3"/>
      <c r="B64" s="3"/>
      <c r="C64" s="3"/>
      <c r="D64" s="283" t="s">
        <v>63</v>
      </c>
      <c r="E64" s="283"/>
      <c r="F64" s="283"/>
      <c r="G64" s="37"/>
      <c r="H64" s="37"/>
      <c r="I64" s="37"/>
      <c r="J64" s="37"/>
      <c r="K64" s="37"/>
      <c r="L64" s="37"/>
      <c r="M64" s="283">
        <f>Дог.!M126</f>
        <v>0</v>
      </c>
      <c r="N64" s="283"/>
      <c r="O64" s="283"/>
      <c r="P64" s="283"/>
    </row>
    <row r="65" spans="1:16" ht="21" x14ac:dyDescent="0.35">
      <c r="A65" s="9" t="s">
        <v>24</v>
      </c>
      <c r="B65" s="15">
        <f ca="1">Дог.!J13</f>
        <v>9</v>
      </c>
      <c r="C65" s="10" t="s">
        <v>23</v>
      </c>
      <c r="D65" s="365" t="str">
        <f ca="1">Дог.!L13</f>
        <v>Январь</v>
      </c>
      <c r="E65" s="366"/>
      <c r="F65" s="10">
        <f ca="1">Дог.!N13</f>
        <v>2026</v>
      </c>
      <c r="G65" s="10" t="s">
        <v>94</v>
      </c>
      <c r="H65" s="9"/>
      <c r="I65" s="15"/>
      <c r="J65" s="5" t="str">
        <f>A65</f>
        <v xml:space="preserve"> «</v>
      </c>
      <c r="K65" s="5">
        <f ca="1">B65</f>
        <v>9</v>
      </c>
      <c r="L65" s="1" t="str">
        <f>C65</f>
        <v>»</v>
      </c>
      <c r="M65" s="275" t="str">
        <f ca="1">D65</f>
        <v>Январь</v>
      </c>
      <c r="N65" s="275"/>
      <c r="O65" s="1">
        <f ca="1">F65</f>
        <v>2026</v>
      </c>
      <c r="P65" s="1" t="str">
        <f>G65</f>
        <v>г.</v>
      </c>
    </row>
    <row r="66" spans="1:16" ht="21" x14ac:dyDescent="0.35">
      <c r="A66" s="276" t="s">
        <v>26</v>
      </c>
      <c r="B66" s="276"/>
      <c r="C66" s="361" t="str">
        <f>Дог.!J61</f>
        <v>+996 (552) 727 607</v>
      </c>
      <c r="D66" s="276"/>
      <c r="E66" s="276"/>
      <c r="F66" s="276"/>
      <c r="G66" s="276"/>
      <c r="H66" s="3"/>
      <c r="I66" s="3"/>
      <c r="J66" s="276" t="s">
        <v>26</v>
      </c>
      <c r="K66" s="276"/>
      <c r="L66" s="362" t="str">
        <f>Дог.!D7</f>
        <v>ХХХХ ХХХ ХХХХХ</v>
      </c>
      <c r="M66" s="362"/>
      <c r="N66" s="362"/>
      <c r="O66" s="362"/>
      <c r="P66" s="362"/>
    </row>
  </sheetData>
  <mergeCells count="179">
    <mergeCell ref="J58:P58"/>
    <mergeCell ref="A54:B54"/>
    <mergeCell ref="A41:Q41"/>
    <mergeCell ref="A44:N44"/>
    <mergeCell ref="O44:P44"/>
    <mergeCell ref="A37:C37"/>
    <mergeCell ref="D37:G37"/>
    <mergeCell ref="J55:P55"/>
    <mergeCell ref="A55:G55"/>
    <mergeCell ref="A56:C56"/>
    <mergeCell ref="D56:G56"/>
    <mergeCell ref="J56:L56"/>
    <mergeCell ref="M56:N56"/>
    <mergeCell ref="A52:B52"/>
    <mergeCell ref="E52:G52"/>
    <mergeCell ref="A53:B53"/>
    <mergeCell ref="C54:G54"/>
    <mergeCell ref="J54:K54"/>
    <mergeCell ref="L54:Q54"/>
    <mergeCell ref="J52:K52"/>
    <mergeCell ref="N52:O52"/>
    <mergeCell ref="C53:G53"/>
    <mergeCell ref="A58:G58"/>
    <mergeCell ref="J57:P57"/>
    <mergeCell ref="J50:K50"/>
    <mergeCell ref="B51:G51"/>
    <mergeCell ref="J51:K51"/>
    <mergeCell ref="L51:P51"/>
    <mergeCell ref="J29:K29"/>
    <mergeCell ref="O33:P33"/>
    <mergeCell ref="O34:P34"/>
    <mergeCell ref="O32:Q32"/>
    <mergeCell ref="A30:M30"/>
    <mergeCell ref="A32:M32"/>
    <mergeCell ref="A33:M33"/>
    <mergeCell ref="A34:M34"/>
    <mergeCell ref="A47:Q47"/>
    <mergeCell ref="L50:Q50"/>
    <mergeCell ref="A35:N35"/>
    <mergeCell ref="A36:N36"/>
    <mergeCell ref="H37:K37"/>
    <mergeCell ref="A38:N38"/>
    <mergeCell ref="O35:P35"/>
    <mergeCell ref="O36:P36"/>
    <mergeCell ref="A31:J31"/>
    <mergeCell ref="K31:L31"/>
    <mergeCell ref="N30:O30"/>
    <mergeCell ref="A42:L42"/>
    <mergeCell ref="A66:B66"/>
    <mergeCell ref="C66:G66"/>
    <mergeCell ref="J66:K66"/>
    <mergeCell ref="L66:P66"/>
    <mergeCell ref="K59:P59"/>
    <mergeCell ref="K60:P60"/>
    <mergeCell ref="J61:P61"/>
    <mergeCell ref="B59:G59"/>
    <mergeCell ref="B60:G60"/>
    <mergeCell ref="A61:G61"/>
    <mergeCell ref="J63:L63"/>
    <mergeCell ref="M63:P63"/>
    <mergeCell ref="A63:C63"/>
    <mergeCell ref="D63:F63"/>
    <mergeCell ref="D65:E65"/>
    <mergeCell ref="M65:N65"/>
    <mergeCell ref="D64:F64"/>
    <mergeCell ref="M64:P64"/>
    <mergeCell ref="B62:D62"/>
    <mergeCell ref="G20:H20"/>
    <mergeCell ref="G21:H21"/>
    <mergeCell ref="G22:H22"/>
    <mergeCell ref="G23:H23"/>
    <mergeCell ref="A57:G57"/>
    <mergeCell ref="L26:M26"/>
    <mergeCell ref="L27:M27"/>
    <mergeCell ref="J26:K26"/>
    <mergeCell ref="J27:K27"/>
    <mergeCell ref="J23:K23"/>
    <mergeCell ref="A46:Q46"/>
    <mergeCell ref="J49:P49"/>
    <mergeCell ref="J53:K53"/>
    <mergeCell ref="B50:G50"/>
    <mergeCell ref="A43:Q43"/>
    <mergeCell ref="A45:Q45"/>
    <mergeCell ref="M42:N42"/>
    <mergeCell ref="O42:Q42"/>
    <mergeCell ref="F26:F27"/>
    <mergeCell ref="N22:O23"/>
    <mergeCell ref="A48:O48"/>
    <mergeCell ref="A49:G49"/>
    <mergeCell ref="N26:O27"/>
    <mergeCell ref="N28:O29"/>
    <mergeCell ref="L29:M29"/>
    <mergeCell ref="A39:Q39"/>
    <mergeCell ref="A40:Q40"/>
    <mergeCell ref="B28:E29"/>
    <mergeCell ref="F28:F29"/>
    <mergeCell ref="G28:H28"/>
    <mergeCell ref="G29:H29"/>
    <mergeCell ref="G27:H27"/>
    <mergeCell ref="I28:I29"/>
    <mergeCell ref="I26:I27"/>
    <mergeCell ref="G26:H26"/>
    <mergeCell ref="O37:P37"/>
    <mergeCell ref="P31:Q31"/>
    <mergeCell ref="O38:P38"/>
    <mergeCell ref="A26:A27"/>
    <mergeCell ref="P30:Q30"/>
    <mergeCell ref="A2:Q2"/>
    <mergeCell ref="A12:B12"/>
    <mergeCell ref="N12:Q12"/>
    <mergeCell ref="A15:Q15"/>
    <mergeCell ref="A7:Q7"/>
    <mergeCell ref="A8:Q8"/>
    <mergeCell ref="A10:H10"/>
    <mergeCell ref="I10:Q10"/>
    <mergeCell ref="A11:D11"/>
    <mergeCell ref="G11:H11"/>
    <mergeCell ref="N11:Q11"/>
    <mergeCell ref="A6:F6"/>
    <mergeCell ref="G6:Q6"/>
    <mergeCell ref="A3:H3"/>
    <mergeCell ref="L5:M5"/>
    <mergeCell ref="H9:Q9"/>
    <mergeCell ref="I12:M12"/>
    <mergeCell ref="C12:H12"/>
    <mergeCell ref="B5:E5"/>
    <mergeCell ref="A9:B9"/>
    <mergeCell ref="C9:G9"/>
    <mergeCell ref="A14:B14"/>
    <mergeCell ref="C14:F14"/>
    <mergeCell ref="G14:J14"/>
    <mergeCell ref="A16:D16"/>
    <mergeCell ref="A18:Q18"/>
    <mergeCell ref="P19:Q19"/>
    <mergeCell ref="P20:Q21"/>
    <mergeCell ref="P22:Q23"/>
    <mergeCell ref="P26:Q27"/>
    <mergeCell ref="P28:Q29"/>
    <mergeCell ref="J19:K19"/>
    <mergeCell ref="J20:K20"/>
    <mergeCell ref="J21:K21"/>
    <mergeCell ref="J22:K22"/>
    <mergeCell ref="L21:M21"/>
    <mergeCell ref="L22:M22"/>
    <mergeCell ref="A28:A29"/>
    <mergeCell ref="J28:K28"/>
    <mergeCell ref="B19:E19"/>
    <mergeCell ref="B20:E21"/>
    <mergeCell ref="B22:E23"/>
    <mergeCell ref="B24:E25"/>
    <mergeCell ref="B26:E27"/>
    <mergeCell ref="F20:F21"/>
    <mergeCell ref="F22:F23"/>
    <mergeCell ref="F24:F25"/>
    <mergeCell ref="L28:M28"/>
    <mergeCell ref="K14:P14"/>
    <mergeCell ref="H13:Q13"/>
    <mergeCell ref="A13:G13"/>
    <mergeCell ref="N24:O25"/>
    <mergeCell ref="P24:Q25"/>
    <mergeCell ref="J25:K25"/>
    <mergeCell ref="L25:M25"/>
    <mergeCell ref="I24:I25"/>
    <mergeCell ref="G24:H24"/>
    <mergeCell ref="G25:H25"/>
    <mergeCell ref="A17:J17"/>
    <mergeCell ref="A22:A23"/>
    <mergeCell ref="L19:M19"/>
    <mergeCell ref="L20:M20"/>
    <mergeCell ref="I20:I21"/>
    <mergeCell ref="I22:I23"/>
    <mergeCell ref="L24:M24"/>
    <mergeCell ref="N20:O21"/>
    <mergeCell ref="A20:A21"/>
    <mergeCell ref="L23:M23"/>
    <mergeCell ref="N19:O19"/>
    <mergeCell ref="A24:A25"/>
    <mergeCell ref="J24:K24"/>
    <mergeCell ref="G19:H19"/>
  </mergeCells>
  <pageMargins left="0.25" right="0.25" top="0.23" bottom="0.2" header="0.22" footer="0.2"/>
  <pageSetup paperSize="9" scale="5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3:Q51"/>
  <sheetViews>
    <sheetView showZeros="0" topLeftCell="A4" zoomScale="80" zoomScaleNormal="80" workbookViewId="0">
      <selection activeCell="B22" sqref="B22:I22"/>
    </sheetView>
  </sheetViews>
  <sheetFormatPr defaultRowHeight="15" x14ac:dyDescent="0.25"/>
  <cols>
    <col min="6" max="6" width="17.140625" customWidth="1"/>
    <col min="8" max="8" width="15.140625" customWidth="1"/>
    <col min="9" max="9" width="13.5703125" customWidth="1"/>
    <col min="11" max="11" width="11.28515625" bestFit="1" customWidth="1"/>
    <col min="13" max="13" width="16" bestFit="1" customWidth="1"/>
    <col min="14" max="14" width="9.140625" customWidth="1"/>
    <col min="16" max="16" width="9.140625" customWidth="1"/>
    <col min="17" max="17" width="13.7109375" customWidth="1"/>
  </cols>
  <sheetData>
    <row r="3" spans="1:17" ht="26.25" x14ac:dyDescent="0.4">
      <c r="A3" s="348" t="s">
        <v>15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</row>
    <row r="4" spans="1:17" ht="27" thickBot="1" x14ac:dyDescent="0.45">
      <c r="A4" s="348" t="s">
        <v>50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</row>
    <row r="5" spans="1:17" ht="21.75" thickBot="1" x14ac:dyDescent="0.4">
      <c r="A5" s="354"/>
      <c r="B5" s="354"/>
      <c r="C5" s="354"/>
      <c r="D5" s="354"/>
      <c r="E5" s="354"/>
      <c r="F5" s="354"/>
      <c r="G5" s="354"/>
      <c r="H5" s="354"/>
      <c r="I5" s="354"/>
      <c r="J5" s="5" t="s">
        <v>12</v>
      </c>
      <c r="K5" s="216">
        <f ca="1">'Пр №1'!J3</f>
        <v>9</v>
      </c>
      <c r="L5" s="217">
        <f ca="1">'Пр №1'!K3</f>
        <v>1</v>
      </c>
      <c r="M5" s="217">
        <f ca="1">'Пр №1'!L3</f>
        <v>2026</v>
      </c>
      <c r="N5" s="223">
        <f ca="1">'Пр №1'!M3</f>
        <v>46031.871582060186</v>
      </c>
      <c r="O5" s="224">
        <f>'Пр №1'!N3</f>
        <v>1</v>
      </c>
    </row>
    <row r="6" spans="1:17" ht="21" x14ac:dyDescent="0.35">
      <c r="A6" s="1"/>
      <c r="B6" s="275" t="str">
        <f>Дог.!B13</f>
        <v xml:space="preserve">г. Бишкек </v>
      </c>
      <c r="C6" s="275"/>
      <c r="D6" s="275"/>
      <c r="E6" s="275"/>
      <c r="F6" s="1"/>
      <c r="G6" s="1"/>
      <c r="H6" s="1"/>
      <c r="I6" s="7" t="str">
        <f>'Пр №1'!I5</f>
        <v xml:space="preserve"> «</v>
      </c>
      <c r="J6" s="5">
        <f ca="1">'Пр №1'!J5</f>
        <v>9</v>
      </c>
      <c r="K6" s="1" t="str">
        <f>'Пр №1'!K5</f>
        <v>»</v>
      </c>
      <c r="L6" s="275" t="str">
        <f ca="1">'Пр №1'!L5</f>
        <v>Январь</v>
      </c>
      <c r="M6" s="275"/>
      <c r="N6" s="1">
        <f ca="1">'Пр №1'!N5</f>
        <v>2026</v>
      </c>
      <c r="O6" s="1" t="str">
        <f>'Пр №1'!O5</f>
        <v>г.</v>
      </c>
    </row>
    <row r="7" spans="1:17" ht="21" customHeight="1" x14ac:dyDescent="0.35">
      <c r="A7" s="302" t="str">
        <f>'Пр №1'!A6:E6</f>
        <v xml:space="preserve"> Зинченко Михаил Александрович</v>
      </c>
      <c r="B7" s="302"/>
      <c r="C7" s="302"/>
      <c r="D7" s="302"/>
      <c r="E7" s="302"/>
      <c r="F7" s="302"/>
      <c r="G7" s="353" t="str">
        <f>'Пр №1'!G6:Q6</f>
        <v>22.12.2006 года рождения, паспорт: ID3219844 выдан MKK 218011 от 12.02.2023 г.</v>
      </c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21" customHeight="1" x14ac:dyDescent="0.35">
      <c r="A8" s="350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17" ht="21" customHeight="1" x14ac:dyDescent="0.35">
      <c r="A9" s="350" t="str">
        <f>'Пр №1'!A8:Q8</f>
        <v>регистрации индивидуального предпринимателя по Свердловскому району г. Бишкек № 003-2024-169-5930 от 08.08.2024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</row>
    <row r="10" spans="1:17" ht="21" customHeight="1" x14ac:dyDescent="0.25">
      <c r="A10" s="349" t="str">
        <f>'Пр №1'!A9:G9</f>
        <v>ИНН:</v>
      </c>
      <c r="B10" s="349"/>
      <c r="C10" s="300">
        <f>'Пр №1'!C9:G9</f>
        <v>22212200650516</v>
      </c>
      <c r="D10" s="349"/>
      <c r="E10" s="349"/>
      <c r="F10" s="349"/>
      <c r="G10" s="349"/>
      <c r="H10" s="349" t="s">
        <v>84</v>
      </c>
      <c r="I10" s="349"/>
      <c r="J10" s="349"/>
      <c r="K10" s="349"/>
      <c r="L10" s="349"/>
      <c r="M10" s="349"/>
      <c r="N10" s="349"/>
      <c r="O10" s="349"/>
      <c r="P10" s="349"/>
      <c r="Q10" s="349"/>
    </row>
    <row r="11" spans="1:17" ht="21" customHeight="1" x14ac:dyDescent="0.35">
      <c r="A11" s="351" t="str">
        <f>Дог.!A18</f>
        <v>ХХХХ ХХХХ ХХХХ</v>
      </c>
      <c r="B11" s="351"/>
      <c r="C11" s="351"/>
      <c r="D11" s="351"/>
      <c r="E11" s="351"/>
      <c r="F11" s="351"/>
      <c r="G11" s="351"/>
      <c r="H11" s="351"/>
      <c r="I11" s="349" t="s">
        <v>72</v>
      </c>
      <c r="J11" s="349"/>
      <c r="K11" s="349"/>
      <c r="L11" s="349"/>
      <c r="M11" s="349"/>
      <c r="N11" s="349"/>
      <c r="O11" s="349"/>
      <c r="P11" s="349"/>
      <c r="Q11" s="349"/>
    </row>
    <row r="12" spans="1:17" ht="21" customHeight="1" x14ac:dyDescent="0.35">
      <c r="A12" s="350" t="str">
        <f>Дог.!A19</f>
        <v xml:space="preserve"> на основании паспорта:</v>
      </c>
      <c r="B12" s="350"/>
      <c r="C12" s="350"/>
      <c r="D12" s="350"/>
      <c r="E12" s="17" t="str">
        <f>Дог.!E19</f>
        <v>ХХХ</v>
      </c>
      <c r="F12" s="17" t="str">
        <f>Дог.!F19</f>
        <v>№</v>
      </c>
      <c r="G12" s="352" t="str">
        <f>Дог.!G19</f>
        <v>ХХХХХ</v>
      </c>
      <c r="H12" s="352"/>
      <c r="I12" s="14" t="str">
        <f>Дог.!I19</f>
        <v>выдан</v>
      </c>
      <c r="J12" s="17" t="str">
        <f>Дог.!J19</f>
        <v>МКК</v>
      </c>
      <c r="K12" s="17" t="str">
        <f>'Пр №1'!K11</f>
        <v>ХХХХ</v>
      </c>
      <c r="L12" s="17" t="str">
        <f>'Пр №1'!L11</f>
        <v>от</v>
      </c>
      <c r="M12" s="99" t="str">
        <f>'Пр №1'!M11</f>
        <v>ХХХХ</v>
      </c>
      <c r="N12" s="350" t="str">
        <f>Дог.!N19</f>
        <v>зарегистрированный(-ая)</v>
      </c>
      <c r="O12" s="350"/>
      <c r="P12" s="350"/>
      <c r="Q12" s="350"/>
    </row>
    <row r="13" spans="1:17" ht="21" customHeight="1" x14ac:dyDescent="0.25">
      <c r="A13" s="349" t="s">
        <v>36</v>
      </c>
      <c r="B13" s="349"/>
      <c r="C13" s="298" t="str">
        <f>'Пр №1'!C12:G12</f>
        <v>Чуйская область г. Бишкек</v>
      </c>
      <c r="D13" s="298"/>
      <c r="E13" s="298"/>
      <c r="F13" s="298"/>
      <c r="G13" s="298"/>
      <c r="H13" s="298"/>
      <c r="I13" s="298" t="str">
        <f>'Пр №1'!I12:M12</f>
        <v>ул. ХХХХХ</v>
      </c>
      <c r="J13" s="298"/>
      <c r="K13" s="298"/>
      <c r="L13" s="298"/>
      <c r="M13" s="298"/>
      <c r="N13" s="349" t="s">
        <v>37</v>
      </c>
      <c r="O13" s="349"/>
      <c r="P13" s="349"/>
      <c r="Q13" s="349"/>
    </row>
    <row r="14" spans="1:17" ht="21" customHeight="1" x14ac:dyDescent="0.25">
      <c r="A14" s="298" t="str">
        <f>'Пр №1'!A13:E13</f>
        <v>Чуйская область г. Бишкек</v>
      </c>
      <c r="B14" s="298"/>
      <c r="C14" s="298"/>
      <c r="D14" s="298"/>
      <c r="E14" s="298"/>
      <c r="F14" s="298"/>
      <c r="G14" s="298"/>
      <c r="H14" s="298" t="str">
        <f>'Пр №1'!H13:Q13</f>
        <v>ул. ХХХХХ</v>
      </c>
      <c r="I14" s="298"/>
      <c r="J14" s="298"/>
      <c r="K14" s="298"/>
      <c r="L14" s="298"/>
      <c r="M14" s="298"/>
      <c r="N14" s="298"/>
      <c r="O14" s="298"/>
      <c r="P14" s="298"/>
      <c r="Q14" s="298"/>
    </row>
    <row r="15" spans="1:17" ht="21" customHeight="1" x14ac:dyDescent="0.25">
      <c r="A15" s="298" t="s">
        <v>258</v>
      </c>
      <c r="B15" s="298"/>
      <c r="C15" s="301" t="str">
        <f>'Пр №1'!C14:F14</f>
        <v>ХХХХ</v>
      </c>
      <c r="D15" s="301"/>
      <c r="E15" s="301"/>
      <c r="F15" s="301"/>
      <c r="G15" s="298" t="s">
        <v>39</v>
      </c>
      <c r="H15" s="298"/>
      <c r="I15" s="298"/>
      <c r="J15" s="298"/>
      <c r="K15" s="298">
        <f>'Пр №1'!K14:P14</f>
        <v>0</v>
      </c>
      <c r="L15" s="298"/>
      <c r="M15" s="298"/>
      <c r="N15" s="298"/>
      <c r="O15" s="298"/>
      <c r="P15" s="298"/>
      <c r="Q15" s="20"/>
    </row>
    <row r="16" spans="1:17" ht="21.75" thickBot="1" x14ac:dyDescent="0.4">
      <c r="A16" s="276" t="s">
        <v>52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</row>
    <row r="17" spans="1:17" ht="21.75" thickBot="1" x14ac:dyDescent="0.4">
      <c r="A17" s="276" t="s">
        <v>47</v>
      </c>
      <c r="B17" s="276"/>
      <c r="C17" s="276"/>
      <c r="D17" s="276"/>
      <c r="E17" s="5" t="s">
        <v>12</v>
      </c>
      <c r="F17" s="216">
        <f ca="1">K5</f>
        <v>9</v>
      </c>
      <c r="G17" s="217">
        <f ca="1">L5</f>
        <v>1</v>
      </c>
      <c r="H17" s="217">
        <f ca="1">M5</f>
        <v>2026</v>
      </c>
      <c r="I17" s="223">
        <f ca="1">N5</f>
        <v>46031.871582060186</v>
      </c>
      <c r="J17" s="218">
        <f>O5</f>
        <v>1</v>
      </c>
      <c r="K17" s="3" t="s">
        <v>75</v>
      </c>
      <c r="L17" s="3"/>
      <c r="M17" s="3"/>
      <c r="N17" s="3"/>
      <c r="O17" s="3"/>
      <c r="P17" s="3"/>
      <c r="Q17" s="3"/>
    </row>
    <row r="18" spans="1:17" ht="21.75" thickBot="1" x14ac:dyDescent="0.4">
      <c r="A18" s="293" t="s">
        <v>51</v>
      </c>
      <c r="B18" s="293"/>
      <c r="C18" s="293"/>
      <c r="D18" s="293"/>
      <c r="E18" s="293"/>
      <c r="F18" s="293"/>
      <c r="G18" s="293"/>
      <c r="H18" s="293"/>
      <c r="I18" s="293"/>
      <c r="J18" s="5" t="s">
        <v>12</v>
      </c>
      <c r="K18" s="216">
        <f ca="1">K5</f>
        <v>9</v>
      </c>
      <c r="L18" s="217">
        <f ca="1">L5</f>
        <v>1</v>
      </c>
      <c r="M18" s="217">
        <f ca="1">M5</f>
        <v>2026</v>
      </c>
      <c r="N18" s="223">
        <f ca="1">N5</f>
        <v>46031.871582060186</v>
      </c>
      <c r="O18" s="224">
        <f>O5</f>
        <v>1</v>
      </c>
    </row>
    <row r="19" spans="1:17" ht="21" x14ac:dyDescent="0.35">
      <c r="A19" s="290" t="s">
        <v>16</v>
      </c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</row>
    <row r="20" spans="1:17" ht="41.25" customHeight="1" x14ac:dyDescent="0.25">
      <c r="A20" s="25" t="s">
        <v>12</v>
      </c>
      <c r="B20" s="388" t="s">
        <v>376</v>
      </c>
      <c r="C20" s="389"/>
      <c r="D20" s="389"/>
      <c r="E20" s="389"/>
      <c r="F20" s="389"/>
      <c r="G20" s="389"/>
      <c r="H20" s="389"/>
      <c r="I20" s="390"/>
      <c r="J20" s="387" t="s">
        <v>55</v>
      </c>
      <c r="K20" s="387"/>
      <c r="L20" s="376" t="s">
        <v>76</v>
      </c>
      <c r="M20" s="376"/>
      <c r="N20" s="380" t="s">
        <v>18</v>
      </c>
      <c r="O20" s="381"/>
      <c r="P20" s="381"/>
      <c r="Q20" s="382"/>
    </row>
    <row r="21" spans="1:17" ht="21" x14ac:dyDescent="0.35">
      <c r="A21" s="4">
        <f>'Пр №1'!A20</f>
        <v>1</v>
      </c>
      <c r="B21" s="377" t="str">
        <f>'Пр №1'!B20</f>
        <v>XXXXXXX</v>
      </c>
      <c r="C21" s="378"/>
      <c r="D21" s="378"/>
      <c r="E21" s="378"/>
      <c r="F21" s="378"/>
      <c r="G21" s="378"/>
      <c r="H21" s="378"/>
      <c r="I21" s="379"/>
      <c r="J21" s="375">
        <f>'Пр №1'!I20</f>
        <v>1</v>
      </c>
      <c r="K21" s="375"/>
      <c r="L21" s="375">
        <v>112</v>
      </c>
      <c r="M21" s="375"/>
      <c r="N21" s="383">
        <f>35000*J21</f>
        <v>35000</v>
      </c>
      <c r="O21" s="384"/>
      <c r="P21" s="384"/>
      <c r="Q21" s="385"/>
    </row>
    <row r="22" spans="1:17" ht="21" x14ac:dyDescent="0.35">
      <c r="A22" s="4">
        <v>2</v>
      </c>
      <c r="B22" s="377">
        <f>'Пр №1'!B22</f>
        <v>0</v>
      </c>
      <c r="C22" s="378"/>
      <c r="D22" s="378"/>
      <c r="E22" s="378"/>
      <c r="F22" s="378"/>
      <c r="G22" s="378"/>
      <c r="H22" s="378"/>
      <c r="I22" s="379"/>
      <c r="J22" s="375">
        <f>'Пр №1'!I22</f>
        <v>0</v>
      </c>
      <c r="K22" s="375"/>
      <c r="L22" s="375"/>
      <c r="M22" s="375"/>
      <c r="N22" s="383"/>
      <c r="O22" s="384"/>
      <c r="P22" s="384"/>
      <c r="Q22" s="385"/>
    </row>
    <row r="23" spans="1:17" ht="21" x14ac:dyDescent="0.35">
      <c r="A23" s="4">
        <v>3</v>
      </c>
      <c r="B23" s="377">
        <f>'Пр №1'!B24</f>
        <v>0</v>
      </c>
      <c r="C23" s="378"/>
      <c r="D23" s="378"/>
      <c r="E23" s="378"/>
      <c r="F23" s="378"/>
      <c r="G23" s="378"/>
      <c r="H23" s="378"/>
      <c r="I23" s="379"/>
      <c r="J23" s="375">
        <f>'Пр №1'!I24</f>
        <v>0</v>
      </c>
      <c r="K23" s="375"/>
      <c r="L23" s="375"/>
      <c r="M23" s="375"/>
      <c r="N23" s="383"/>
      <c r="O23" s="384"/>
      <c r="P23" s="384"/>
      <c r="Q23" s="385"/>
    </row>
    <row r="24" spans="1:17" ht="21" x14ac:dyDescent="0.35">
      <c r="A24" s="4">
        <v>4</v>
      </c>
      <c r="B24" s="377">
        <f>'Пр №1'!B26</f>
        <v>0</v>
      </c>
      <c r="C24" s="378"/>
      <c r="D24" s="378"/>
      <c r="E24" s="378"/>
      <c r="F24" s="378"/>
      <c r="G24" s="378"/>
      <c r="H24" s="378"/>
      <c r="I24" s="379"/>
      <c r="J24" s="375">
        <f>'Пр №1'!I26</f>
        <v>0</v>
      </c>
      <c r="K24" s="375"/>
      <c r="L24" s="375"/>
      <c r="M24" s="375"/>
      <c r="N24" s="383"/>
      <c r="O24" s="384"/>
      <c r="P24" s="384"/>
      <c r="Q24" s="385"/>
    </row>
    <row r="25" spans="1:17" ht="21" x14ac:dyDescent="0.35">
      <c r="A25" s="4">
        <v>5</v>
      </c>
      <c r="B25" s="377">
        <f>'Пр №1'!B28</f>
        <v>0</v>
      </c>
      <c r="C25" s="378"/>
      <c r="D25" s="378"/>
      <c r="E25" s="378"/>
      <c r="F25" s="378"/>
      <c r="G25" s="378"/>
      <c r="H25" s="378"/>
      <c r="I25" s="379"/>
      <c r="J25" s="375">
        <f>'Пр №1'!I28</f>
        <v>0</v>
      </c>
      <c r="K25" s="375"/>
      <c r="L25" s="375"/>
      <c r="M25" s="375"/>
      <c r="N25" s="383"/>
      <c r="O25" s="384"/>
      <c r="P25" s="384"/>
      <c r="Q25" s="385"/>
    </row>
    <row r="26" spans="1:17" ht="21" x14ac:dyDescent="0.35">
      <c r="A26" s="391" t="s">
        <v>135</v>
      </c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3"/>
      <c r="N26" s="355">
        <f>SUM(N21:Q25)</f>
        <v>35000</v>
      </c>
      <c r="O26" s="355"/>
      <c r="P26" s="355"/>
      <c r="Q26" s="355"/>
    </row>
    <row r="27" spans="1:17" ht="21" customHeight="1" x14ac:dyDescent="0.35">
      <c r="A27" s="371" t="s">
        <v>53</v>
      </c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</row>
    <row r="28" spans="1:17" ht="21" x14ac:dyDescent="0.35">
      <c r="A28" s="290" t="s">
        <v>288</v>
      </c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</row>
    <row r="29" spans="1:17" ht="21" x14ac:dyDescent="0.35">
      <c r="A29" s="289" t="s">
        <v>662</v>
      </c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359">
        <f>'Пр №1'!P30</f>
        <v>3000</v>
      </c>
      <c r="P29" s="359"/>
      <c r="Q29" s="359"/>
    </row>
    <row r="30" spans="1:17" ht="21" x14ac:dyDescent="0.35">
      <c r="A30" s="290" t="s">
        <v>81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</row>
    <row r="31" spans="1:17" ht="21" x14ac:dyDescent="0.35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</row>
    <row r="33" spans="1:17" ht="21" x14ac:dyDescent="0.35">
      <c r="A33" s="275" t="s">
        <v>6</v>
      </c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</row>
    <row r="34" spans="1:17" ht="21" x14ac:dyDescent="0.35">
      <c r="A34" s="275" t="s">
        <v>45</v>
      </c>
      <c r="B34" s="275"/>
      <c r="C34" s="275"/>
      <c r="D34" s="275"/>
      <c r="E34" s="275"/>
      <c r="F34" s="275"/>
      <c r="G34" s="275"/>
      <c r="H34" s="1"/>
      <c r="I34" s="1"/>
      <c r="J34" s="275" t="s">
        <v>44</v>
      </c>
      <c r="K34" s="275"/>
      <c r="L34" s="275"/>
      <c r="M34" s="275"/>
      <c r="N34" s="275"/>
      <c r="O34" s="275"/>
      <c r="P34" s="275"/>
    </row>
    <row r="35" spans="1:17" ht="21" x14ac:dyDescent="0.35">
      <c r="A35" s="3" t="s">
        <v>10</v>
      </c>
      <c r="B35" s="290" t="str">
        <f>'Пр №1'!B50:G50</f>
        <v xml:space="preserve"> Зинченко Михаил Александрович</v>
      </c>
      <c r="C35" s="290"/>
      <c r="D35" s="290"/>
      <c r="E35" s="290"/>
      <c r="F35" s="290"/>
      <c r="G35" s="290"/>
      <c r="H35" s="3"/>
      <c r="I35" s="3"/>
      <c r="J35" s="290" t="str">
        <f>'Пр №1'!J50:K50</f>
        <v>Ф.И.О.:</v>
      </c>
      <c r="K35" s="290"/>
      <c r="L35" s="290" t="str">
        <f>'Пр №1'!L50:Q50</f>
        <v>ХХХХ ХХХХ ХХХХ</v>
      </c>
      <c r="M35" s="290"/>
      <c r="N35" s="290"/>
      <c r="O35" s="290"/>
      <c r="P35" s="290"/>
      <c r="Q35" s="290"/>
    </row>
    <row r="36" spans="1:17" ht="21" x14ac:dyDescent="0.35">
      <c r="A36" s="3" t="s">
        <v>28</v>
      </c>
      <c r="B36" s="363">
        <f>'Пр №1'!B51:G51</f>
        <v>22212200650516</v>
      </c>
      <c r="C36" s="363"/>
      <c r="D36" s="363"/>
      <c r="E36" s="363"/>
      <c r="F36" s="363"/>
      <c r="G36" s="363"/>
      <c r="H36" s="3"/>
      <c r="I36" s="12"/>
      <c r="J36" s="363" t="str">
        <f>'Пр №1'!J51:K51</f>
        <v>ПИН:</v>
      </c>
      <c r="K36" s="363"/>
      <c r="L36" s="363" t="str">
        <f>'Пр №1'!L51:P51</f>
        <v>ХХХХ</v>
      </c>
      <c r="M36" s="363"/>
      <c r="N36" s="363"/>
      <c r="O36" s="363"/>
      <c r="P36" s="363"/>
    </row>
    <row r="37" spans="1:17" ht="21" x14ac:dyDescent="0.35">
      <c r="A37" s="290" t="s">
        <v>29</v>
      </c>
      <c r="B37" s="290"/>
      <c r="C37" s="13" t="str">
        <f>'Пр №1'!C52</f>
        <v>ID</v>
      </c>
      <c r="D37" s="13" t="s">
        <v>12</v>
      </c>
      <c r="E37" s="290">
        <f>'Пр №1'!E52:G52</f>
        <v>3219844</v>
      </c>
      <c r="F37" s="290"/>
      <c r="G37" s="290"/>
      <c r="H37" s="3"/>
      <c r="I37" s="3"/>
      <c r="J37" s="290" t="str">
        <f>'Пр №1'!J52:K52</f>
        <v>Паспорт:</v>
      </c>
      <c r="K37" s="290"/>
      <c r="L37" s="13" t="str">
        <f>'Пр №1'!L52</f>
        <v>ХХХ</v>
      </c>
      <c r="M37" s="13" t="s">
        <v>12</v>
      </c>
      <c r="N37" s="290" t="str">
        <f>'Пр №1'!N52:O52</f>
        <v>ХХХХХ</v>
      </c>
      <c r="O37" s="290"/>
      <c r="P37" s="3"/>
    </row>
    <row r="38" spans="1:17" ht="21" x14ac:dyDescent="0.35">
      <c r="A38" s="290" t="s">
        <v>30</v>
      </c>
      <c r="B38" s="290"/>
      <c r="C38" s="290" t="str">
        <f>'Пр №1'!C53:G53</f>
        <v>МКК 218011 от 12.02.2023</v>
      </c>
      <c r="D38" s="290"/>
      <c r="E38" s="290"/>
      <c r="F38" s="290"/>
      <c r="G38" s="290"/>
      <c r="H38" s="16"/>
      <c r="I38" s="3"/>
      <c r="J38" s="290" t="str">
        <f>'Пр №1'!J53:K53</f>
        <v>Выдан:</v>
      </c>
      <c r="K38" s="290"/>
      <c r="L38" s="13" t="str">
        <f>'Пр №1'!L53</f>
        <v>МКК</v>
      </c>
      <c r="M38" s="13" t="str">
        <f>'Пр №1'!M53</f>
        <v>ХХХХ</v>
      </c>
      <c r="N38" s="13" t="str">
        <f>'Пр №1'!N53</f>
        <v>от</v>
      </c>
      <c r="O38" s="386" t="str">
        <f>'Пр №1'!O53</f>
        <v>ХХХХ</v>
      </c>
      <c r="P38" s="276"/>
    </row>
    <row r="39" spans="1:17" ht="21" x14ac:dyDescent="0.35">
      <c r="A39" s="290" t="s">
        <v>31</v>
      </c>
      <c r="B39" s="290"/>
      <c r="C39" s="290" t="str">
        <f>'Пр №1'!C54:G54</f>
        <v>г. Бишкек</v>
      </c>
      <c r="D39" s="290"/>
      <c r="E39" s="290"/>
      <c r="F39" s="290"/>
      <c r="G39" s="290"/>
      <c r="H39" s="11"/>
      <c r="I39" s="3"/>
      <c r="J39" s="290" t="str">
        <f>'Пр №1'!J54:K54</f>
        <v>Адрес:</v>
      </c>
      <c r="K39" s="290"/>
      <c r="L39" s="290" t="str">
        <f>'Пр №1'!L54:Q54</f>
        <v>Чуйская область г. Бишкек</v>
      </c>
      <c r="M39" s="290"/>
      <c r="N39" s="290"/>
      <c r="O39" s="290"/>
      <c r="P39" s="290"/>
      <c r="Q39" s="290"/>
    </row>
    <row r="40" spans="1:17" ht="21" x14ac:dyDescent="0.35">
      <c r="A40" s="290" t="str">
        <f>'Пр №1'!A55:G55</f>
        <v>ул. Ялтинская д. №  56</v>
      </c>
      <c r="B40" s="290"/>
      <c r="C40" s="290"/>
      <c r="D40" s="290"/>
      <c r="E40" s="290"/>
      <c r="F40" s="290"/>
      <c r="G40" s="290"/>
      <c r="H40" s="3"/>
      <c r="I40" s="3"/>
      <c r="J40" s="290" t="str">
        <f>'Пр №1'!J55:P55</f>
        <v>ул. ХХХХХ</v>
      </c>
      <c r="K40" s="290"/>
      <c r="L40" s="290"/>
      <c r="M40" s="290"/>
      <c r="N40" s="290"/>
      <c r="O40" s="290"/>
      <c r="P40" s="290"/>
      <c r="Q40" s="290"/>
    </row>
    <row r="41" spans="1:17" ht="21" x14ac:dyDescent="0.35">
      <c r="A41" s="290" t="s">
        <v>32</v>
      </c>
      <c r="B41" s="290"/>
      <c r="C41" s="290"/>
      <c r="D41" s="290">
        <f>'Пр №1'!D56:G56</f>
        <v>720051</v>
      </c>
      <c r="E41" s="290"/>
      <c r="F41" s="290"/>
      <c r="G41" s="290"/>
      <c r="H41" s="11"/>
      <c r="I41" s="3"/>
      <c r="J41" s="290" t="str">
        <f>'Пр №1'!J56:L56</f>
        <v>Почтовый индекс:</v>
      </c>
      <c r="K41" s="290"/>
      <c r="L41" s="290"/>
      <c r="M41" s="290">
        <f>'Пр №1'!M56:N56</f>
        <v>0</v>
      </c>
      <c r="N41" s="290"/>
      <c r="O41" s="3"/>
      <c r="P41" s="3"/>
    </row>
    <row r="42" spans="1:17" ht="21" x14ac:dyDescent="0.35">
      <c r="A42" s="290" t="s">
        <v>7</v>
      </c>
      <c r="B42" s="290"/>
      <c r="C42" s="290"/>
      <c r="D42" s="290"/>
      <c r="E42" s="290"/>
      <c r="F42" s="290"/>
      <c r="G42" s="290"/>
      <c r="H42" s="3"/>
      <c r="I42" s="3"/>
      <c r="J42" s="290" t="str">
        <f>'Пр №1'!J57:P57</f>
        <v>Банковские реквизиты:</v>
      </c>
      <c r="K42" s="290"/>
      <c r="L42" s="290"/>
      <c r="M42" s="290"/>
      <c r="N42" s="290"/>
      <c r="O42" s="290"/>
      <c r="P42" s="290"/>
    </row>
    <row r="43" spans="1:17" ht="21" x14ac:dyDescent="0.35">
      <c r="A43" s="290" t="str">
        <f>'Пр №1'!A58:G58</f>
        <v>ОАО "МБАНК" ФИЛИАЛ "МБАНК ПЛАЗА"</v>
      </c>
      <c r="B43" s="290"/>
      <c r="C43" s="290"/>
      <c r="D43" s="290"/>
      <c r="E43" s="290"/>
      <c r="F43" s="290"/>
      <c r="G43" s="290"/>
      <c r="H43" s="3"/>
      <c r="I43" s="3"/>
      <c r="J43" s="290">
        <f>'Пр №1'!J58:P58</f>
        <v>0</v>
      </c>
      <c r="K43" s="290"/>
      <c r="L43" s="290"/>
      <c r="M43" s="290"/>
      <c r="N43" s="290"/>
      <c r="O43" s="290"/>
      <c r="P43" s="290"/>
    </row>
    <row r="44" spans="1:17" ht="21" x14ac:dyDescent="0.35">
      <c r="A44" s="3" t="s">
        <v>49</v>
      </c>
      <c r="B44" s="363" t="str">
        <f>'Пр №1'!B59:G59</f>
        <v>"1033220001521202"</v>
      </c>
      <c r="C44" s="363"/>
      <c r="D44" s="363"/>
      <c r="E44" s="363"/>
      <c r="F44" s="363"/>
      <c r="G44" s="363"/>
      <c r="H44" s="3"/>
      <c r="I44" s="3"/>
      <c r="J44" s="3" t="str">
        <f>'Пр №1'!J59</f>
        <v>р/c:</v>
      </c>
      <c r="K44" s="363">
        <f>'Пр №1'!K59:P59</f>
        <v>0</v>
      </c>
      <c r="L44" s="363"/>
      <c r="M44" s="363"/>
      <c r="N44" s="363"/>
      <c r="O44" s="363"/>
      <c r="P44" s="363"/>
    </row>
    <row r="45" spans="1:17" ht="21" x14ac:dyDescent="0.35">
      <c r="A45" s="3" t="s">
        <v>9</v>
      </c>
      <c r="B45" s="290">
        <f>'Пр №1'!B60:G60</f>
        <v>103032</v>
      </c>
      <c r="C45" s="290"/>
      <c r="D45" s="290"/>
      <c r="E45" s="290"/>
      <c r="F45" s="290"/>
      <c r="G45" s="290"/>
      <c r="H45" s="3"/>
      <c r="I45" s="3"/>
      <c r="J45" s="3" t="str">
        <f>'Пр №1'!J60</f>
        <v>БИК:</v>
      </c>
      <c r="K45" s="290">
        <f>'Пр №1'!K60:P60</f>
        <v>0</v>
      </c>
      <c r="L45" s="290"/>
      <c r="M45" s="290"/>
      <c r="N45" s="290"/>
      <c r="O45" s="290"/>
      <c r="P45" s="290"/>
    </row>
    <row r="46" spans="1:17" ht="21" x14ac:dyDescent="0.35">
      <c r="A46" s="290" t="str">
        <f>'Пр №1'!A61:G61</f>
        <v>УГНС 003 Свердловского района</v>
      </c>
      <c r="B46" s="290"/>
      <c r="C46" s="290"/>
      <c r="D46" s="290"/>
      <c r="E46" s="290"/>
      <c r="F46" s="290"/>
      <c r="G46" s="290"/>
      <c r="H46" s="3"/>
      <c r="I46" s="3"/>
      <c r="J46" s="290" t="str">
        <f>'Пр №1'!J61:P61</f>
        <v>УГНС 000</v>
      </c>
      <c r="K46" s="290"/>
      <c r="L46" s="290"/>
      <c r="M46" s="290"/>
      <c r="N46" s="290"/>
      <c r="O46" s="290"/>
      <c r="P46" s="290"/>
    </row>
    <row r="47" spans="1:17" ht="21" x14ac:dyDescent="0.35">
      <c r="A47" s="3" t="str">
        <f>'Пр №1'!A62</f>
        <v>ОКПО:</v>
      </c>
      <c r="B47" s="276">
        <f>'Пр №1'!B62</f>
        <v>33158934</v>
      </c>
      <c r="C47" s="27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7" ht="21" x14ac:dyDescent="0.35">
      <c r="A48" s="276" t="str">
        <f>'Пр №1'!A63:C63</f>
        <v>З. М.</v>
      </c>
      <c r="B48" s="276"/>
      <c r="C48" s="276"/>
      <c r="D48" s="276" t="str">
        <f>'Пр №1'!D63:F63</f>
        <v>________________________</v>
      </c>
      <c r="E48" s="276"/>
      <c r="F48" s="276"/>
      <c r="G48" s="3"/>
      <c r="H48" s="3"/>
      <c r="I48" s="3"/>
      <c r="J48" s="276" t="str">
        <f>'Пр №1'!J63:L63</f>
        <v>ХХХХ Х. Х.</v>
      </c>
      <c r="K48" s="276"/>
      <c r="L48" s="276"/>
      <c r="M48" s="290" t="s">
        <v>33</v>
      </c>
      <c r="N48" s="290"/>
      <c r="O48" s="290"/>
      <c r="P48" s="290"/>
    </row>
    <row r="49" spans="1:16" ht="21" x14ac:dyDescent="0.35">
      <c r="A49" s="3"/>
      <c r="B49" s="3"/>
      <c r="C49" s="3"/>
      <c r="D49" s="283" t="str">
        <f>'Пр №1'!D64:F64</f>
        <v>(подпись)</v>
      </c>
      <c r="E49" s="283"/>
      <c r="F49" s="283"/>
      <c r="G49" s="37"/>
      <c r="H49" s="37"/>
      <c r="I49" s="37"/>
      <c r="J49" s="37"/>
      <c r="K49" s="37"/>
      <c r="L49" s="37"/>
      <c r="M49" s="283">
        <f>'Пр №1'!M64:P64</f>
        <v>0</v>
      </c>
      <c r="N49" s="283"/>
      <c r="O49" s="283"/>
      <c r="P49" s="283"/>
    </row>
    <row r="50" spans="1:16" ht="21" x14ac:dyDescent="0.35">
      <c r="A50" s="9" t="str">
        <f>'Пр №1'!A65</f>
        <v xml:space="preserve"> «</v>
      </c>
      <c r="B50" s="15">
        <f ca="1">'Пр №1'!B65</f>
        <v>9</v>
      </c>
      <c r="C50" s="10" t="str">
        <f>'Пр №1'!C65</f>
        <v>»</v>
      </c>
      <c r="D50" s="366" t="str">
        <f ca="1">'Пр №1'!D65:E65</f>
        <v>Январь</v>
      </c>
      <c r="E50" s="366"/>
      <c r="F50" s="10">
        <f ca="1">'Пр №1'!F65</f>
        <v>2026</v>
      </c>
      <c r="G50" s="10" t="str">
        <f>'Пр №1'!G65</f>
        <v>г.</v>
      </c>
      <c r="H50" s="9"/>
      <c r="I50" s="15"/>
      <c r="J50" s="5" t="str">
        <f>A50</f>
        <v xml:space="preserve"> «</v>
      </c>
      <c r="K50" s="5">
        <f ca="1">B50</f>
        <v>9</v>
      </c>
      <c r="L50" s="1" t="str">
        <f>C50</f>
        <v>»</v>
      </c>
      <c r="M50" s="275" t="str">
        <f ca="1">D50</f>
        <v>Январь</v>
      </c>
      <c r="N50" s="275"/>
      <c r="O50" s="1">
        <f ca="1">F50</f>
        <v>2026</v>
      </c>
      <c r="P50" s="1" t="str">
        <f>G50</f>
        <v>г.</v>
      </c>
    </row>
    <row r="51" spans="1:16" ht="21" x14ac:dyDescent="0.35">
      <c r="A51" s="276" t="s">
        <v>26</v>
      </c>
      <c r="B51" s="276"/>
      <c r="C51" s="276" t="str">
        <f>'Пр №1'!C66:G66</f>
        <v>+996 (552) 727 607</v>
      </c>
      <c r="D51" s="276"/>
      <c r="E51" s="276"/>
      <c r="F51" s="276"/>
      <c r="G51" s="276"/>
      <c r="H51" s="3"/>
      <c r="I51" s="3"/>
      <c r="J51" s="276" t="s">
        <v>26</v>
      </c>
      <c r="K51" s="276"/>
      <c r="L51" s="362" t="str">
        <f>'Пр №1'!L66:P66</f>
        <v>ХХХХ ХХХ ХХХХХ</v>
      </c>
      <c r="M51" s="362"/>
      <c r="N51" s="362"/>
      <c r="O51" s="362"/>
      <c r="P51" s="362"/>
    </row>
  </sheetData>
  <mergeCells count="113">
    <mergeCell ref="A31:Q31"/>
    <mergeCell ref="A37:B37"/>
    <mergeCell ref="E37:G37"/>
    <mergeCell ref="J37:K37"/>
    <mergeCell ref="N37:O37"/>
    <mergeCell ref="B44:G44"/>
    <mergeCell ref="K44:P44"/>
    <mergeCell ref="A42:G42"/>
    <mergeCell ref="A43:G43"/>
    <mergeCell ref="A40:G40"/>
    <mergeCell ref="J40:Q40"/>
    <mergeCell ref="A41:C41"/>
    <mergeCell ref="D41:G41"/>
    <mergeCell ref="J41:L41"/>
    <mergeCell ref="M41:N41"/>
    <mergeCell ref="J42:P42"/>
    <mergeCell ref="J43:P43"/>
    <mergeCell ref="A38:B38"/>
    <mergeCell ref="C38:G38"/>
    <mergeCell ref="J38:K38"/>
    <mergeCell ref="A39:B39"/>
    <mergeCell ref="C39:G39"/>
    <mergeCell ref="J39:K39"/>
    <mergeCell ref="L39:Q39"/>
    <mergeCell ref="A51:B51"/>
    <mergeCell ref="C51:G51"/>
    <mergeCell ref="J51:K51"/>
    <mergeCell ref="L51:P51"/>
    <mergeCell ref="B45:G45"/>
    <mergeCell ref="K45:P45"/>
    <mergeCell ref="A46:G46"/>
    <mergeCell ref="J46:P46"/>
    <mergeCell ref="J48:L48"/>
    <mergeCell ref="M48:P48"/>
    <mergeCell ref="D50:E50"/>
    <mergeCell ref="M50:N50"/>
    <mergeCell ref="A48:C48"/>
    <mergeCell ref="D48:F48"/>
    <mergeCell ref="D49:F49"/>
    <mergeCell ref="M49:P49"/>
    <mergeCell ref="B47:C47"/>
    <mergeCell ref="A33:O33"/>
    <mergeCell ref="J34:P34"/>
    <mergeCell ref="B35:G35"/>
    <mergeCell ref="J35:K35"/>
    <mergeCell ref="L35:Q35"/>
    <mergeCell ref="B36:G36"/>
    <mergeCell ref="J36:K36"/>
    <mergeCell ref="L36:P36"/>
    <mergeCell ref="A34:G34"/>
    <mergeCell ref="O38:P38"/>
    <mergeCell ref="A28:Q28"/>
    <mergeCell ref="A30:Q30"/>
    <mergeCell ref="J20:K20"/>
    <mergeCell ref="J21:K21"/>
    <mergeCell ref="J22:K22"/>
    <mergeCell ref="J23:K23"/>
    <mergeCell ref="J24:K24"/>
    <mergeCell ref="J25:K25"/>
    <mergeCell ref="B20:I20"/>
    <mergeCell ref="B21:I21"/>
    <mergeCell ref="B23:I23"/>
    <mergeCell ref="B24:I24"/>
    <mergeCell ref="B25:I25"/>
    <mergeCell ref="A29:N29"/>
    <mergeCell ref="A26:M26"/>
    <mergeCell ref="O29:Q29"/>
    <mergeCell ref="N26:Q26"/>
    <mergeCell ref="N24:Q24"/>
    <mergeCell ref="N25:Q25"/>
    <mergeCell ref="L23:M23"/>
    <mergeCell ref="L24:M24"/>
    <mergeCell ref="L22:M22"/>
    <mergeCell ref="A27:Q27"/>
    <mergeCell ref="B6:E6"/>
    <mergeCell ref="L6:M6"/>
    <mergeCell ref="A5:I5"/>
    <mergeCell ref="C13:H13"/>
    <mergeCell ref="A3:Q3"/>
    <mergeCell ref="A4:Q4"/>
    <mergeCell ref="I13:M13"/>
    <mergeCell ref="L25:M25"/>
    <mergeCell ref="B22:I22"/>
    <mergeCell ref="A7:F7"/>
    <mergeCell ref="G7:Q7"/>
    <mergeCell ref="A8:Q8"/>
    <mergeCell ref="A9:Q9"/>
    <mergeCell ref="A11:H11"/>
    <mergeCell ref="I11:Q11"/>
    <mergeCell ref="A12:D12"/>
    <mergeCell ref="A16:Q16"/>
    <mergeCell ref="A17:D17"/>
    <mergeCell ref="A19:O19"/>
    <mergeCell ref="N20:Q20"/>
    <mergeCell ref="N21:Q21"/>
    <mergeCell ref="N22:Q22"/>
    <mergeCell ref="N23:Q23"/>
    <mergeCell ref="G12:H12"/>
    <mergeCell ref="N12:Q12"/>
    <mergeCell ref="H10:Q10"/>
    <mergeCell ref="N13:Q13"/>
    <mergeCell ref="A18:I18"/>
    <mergeCell ref="A13:B13"/>
    <mergeCell ref="L21:M21"/>
    <mergeCell ref="A10:B10"/>
    <mergeCell ref="C10:G10"/>
    <mergeCell ref="H14:Q14"/>
    <mergeCell ref="A14:G14"/>
    <mergeCell ref="A15:B15"/>
    <mergeCell ref="C15:F15"/>
    <mergeCell ref="G15:J15"/>
    <mergeCell ref="K15:P15"/>
    <mergeCell ref="L20:M20"/>
  </mergeCells>
  <pageMargins left="0.34" right="0.28999999999999998" top="0.28000000000000003" bottom="0.56000000000000005" header="0.3" footer="0.3"/>
  <pageSetup paperSize="9" scale="5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3:Q78"/>
  <sheetViews>
    <sheetView showZeros="0" topLeftCell="A19" zoomScale="80" zoomScaleNormal="80" workbookViewId="0">
      <selection activeCell="A50" sqref="A50:Q50"/>
    </sheetView>
  </sheetViews>
  <sheetFormatPr defaultRowHeight="15" outlineLevelRow="2" x14ac:dyDescent="0.25"/>
  <cols>
    <col min="5" max="5" width="9.140625" customWidth="1"/>
    <col min="6" max="6" width="19" customWidth="1"/>
    <col min="7" max="7" width="17.28515625" customWidth="1"/>
    <col min="8" max="8" width="11" customWidth="1"/>
    <col min="9" max="9" width="10.28515625" customWidth="1"/>
    <col min="10" max="10" width="10.85546875" customWidth="1"/>
    <col min="11" max="11" width="11.42578125" bestFit="1" customWidth="1"/>
    <col min="12" max="12" width="9.28515625" bestFit="1" customWidth="1"/>
    <col min="13" max="13" width="16.140625" bestFit="1" customWidth="1"/>
    <col min="14" max="14" width="12.85546875" bestFit="1" customWidth="1"/>
    <col min="15" max="15" width="11.42578125" customWidth="1"/>
    <col min="16" max="16" width="9.140625" customWidth="1"/>
    <col min="17" max="17" width="14.85546875" customWidth="1"/>
  </cols>
  <sheetData>
    <row r="3" spans="1:17" ht="26.25" x14ac:dyDescent="0.4">
      <c r="A3" s="348" t="s">
        <v>79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</row>
    <row r="4" spans="1:17" ht="27" thickBot="1" x14ac:dyDescent="0.45">
      <c r="A4" s="348" t="s">
        <v>50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</row>
    <row r="5" spans="1:17" ht="21.75" thickBot="1" x14ac:dyDescent="0.4">
      <c r="A5" s="354"/>
      <c r="B5" s="354"/>
      <c r="C5" s="354"/>
      <c r="D5" s="354"/>
      <c r="E5" s="354"/>
      <c r="F5" s="354"/>
      <c r="G5" s="354"/>
      <c r="H5" s="354"/>
      <c r="I5" s="354"/>
      <c r="J5" s="5" t="s">
        <v>12</v>
      </c>
      <c r="K5" s="216">
        <f ca="1">'Пр №1'!J3</f>
        <v>9</v>
      </c>
      <c r="L5" s="217">
        <f ca="1">'Пр №1'!K3</f>
        <v>1</v>
      </c>
      <c r="M5" s="217">
        <f ca="1">'Пр №1'!L3</f>
        <v>2026</v>
      </c>
      <c r="N5" s="223">
        <f ca="1">'Пр №1'!M3</f>
        <v>46031.871582060186</v>
      </c>
      <c r="O5" s="224">
        <f>'Акт прием'!O5</f>
        <v>1</v>
      </c>
    </row>
    <row r="6" spans="1:17" ht="21" x14ac:dyDescent="0.35">
      <c r="A6" s="1"/>
      <c r="B6" s="275" t="str">
        <f>Дог.!B13</f>
        <v xml:space="preserve">г. Бишкек </v>
      </c>
      <c r="C6" s="275"/>
      <c r="D6" s="275"/>
      <c r="E6" s="275"/>
      <c r="F6" s="1"/>
      <c r="G6" s="1"/>
      <c r="H6" s="1"/>
      <c r="I6" s="7" t="str">
        <f>'Пр №1'!I5</f>
        <v xml:space="preserve"> «</v>
      </c>
      <c r="J6" s="5">
        <f ca="1">'Пр №1'!J5</f>
        <v>9</v>
      </c>
      <c r="K6" s="1" t="str">
        <f>'Пр №1'!K5</f>
        <v>»</v>
      </c>
      <c r="L6" s="275" t="str">
        <f ca="1">'Пр №1'!L5</f>
        <v>Январь</v>
      </c>
      <c r="M6" s="275"/>
      <c r="N6" s="1">
        <f ca="1">'Пр №1'!N5</f>
        <v>2026</v>
      </c>
      <c r="O6" s="1" t="str">
        <f>'Пр №1'!O5</f>
        <v>г.</v>
      </c>
    </row>
    <row r="7" spans="1:17" ht="21" x14ac:dyDescent="0.35">
      <c r="A7" s="302" t="str">
        <f>'Акт прием'!A7:E7</f>
        <v xml:space="preserve"> Зинченко Михаил Александрович</v>
      </c>
      <c r="B7" s="302"/>
      <c r="C7" s="302"/>
      <c r="D7" s="302"/>
      <c r="E7" s="302"/>
      <c r="F7" s="302"/>
      <c r="G7" s="353" t="str">
        <f>'Акт прием'!G7:Q7</f>
        <v>22.12.2006 года рождения, паспорт: ID3219844 выдан MKK 218011 от 12.02.2023 г.</v>
      </c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21" x14ac:dyDescent="0.35">
      <c r="A8" s="350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17" ht="21" x14ac:dyDescent="0.35">
      <c r="A9" s="350" t="str">
        <f>'Пр №1'!A8:Q8</f>
        <v>регистрации индивидуального предпринимателя по Свердловскому району г. Бишкек № 003-2024-169-5930 от 08.08.2024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</row>
    <row r="10" spans="1:17" ht="21" x14ac:dyDescent="0.25">
      <c r="A10" s="349" t="str">
        <f>'Акт прием'!A10:G10</f>
        <v>ИНН:</v>
      </c>
      <c r="B10" s="349"/>
      <c r="C10" s="300">
        <f>'Пр №1'!C9:G9</f>
        <v>22212200650516</v>
      </c>
      <c r="D10" s="349"/>
      <c r="E10" s="349"/>
      <c r="F10" s="349"/>
      <c r="G10" s="92"/>
      <c r="H10" s="349" t="s">
        <v>84</v>
      </c>
      <c r="I10" s="349"/>
      <c r="J10" s="349"/>
      <c r="K10" s="349"/>
      <c r="L10" s="349"/>
      <c r="M10" s="349"/>
      <c r="N10" s="349"/>
      <c r="O10" s="349"/>
      <c r="P10" s="349"/>
      <c r="Q10" s="349"/>
    </row>
    <row r="11" spans="1:17" ht="21" x14ac:dyDescent="0.35">
      <c r="A11" s="351" t="str">
        <f>Дог.!A18</f>
        <v>ХХХХ ХХХХ ХХХХ</v>
      </c>
      <c r="B11" s="351"/>
      <c r="C11" s="351"/>
      <c r="D11" s="351"/>
      <c r="E11" s="351"/>
      <c r="F11" s="351"/>
      <c r="G11" s="351"/>
      <c r="H11" s="351"/>
      <c r="I11" s="349" t="s">
        <v>72</v>
      </c>
      <c r="J11" s="349"/>
      <c r="K11" s="349"/>
      <c r="L11" s="349"/>
      <c r="M11" s="349"/>
      <c r="N11" s="349"/>
      <c r="O11" s="349"/>
      <c r="P11" s="349"/>
      <c r="Q11" s="349"/>
    </row>
    <row r="12" spans="1:17" ht="21" x14ac:dyDescent="0.35">
      <c r="A12" s="350" t="str">
        <f>Дог.!A19</f>
        <v xml:space="preserve"> на основании паспорта:</v>
      </c>
      <c r="B12" s="350"/>
      <c r="C12" s="350"/>
      <c r="D12" s="350"/>
      <c r="E12" s="17" t="str">
        <f>Дог.!E19</f>
        <v>ХХХ</v>
      </c>
      <c r="F12" s="17" t="str">
        <f>Дог.!F19</f>
        <v>№</v>
      </c>
      <c r="G12" s="352" t="str">
        <f>Дог.!G19</f>
        <v>ХХХХХ</v>
      </c>
      <c r="H12" s="352"/>
      <c r="I12" s="14" t="str">
        <f>Дог.!I19</f>
        <v>выдан</v>
      </c>
      <c r="J12" s="17" t="str">
        <f>Дог.!J19</f>
        <v>МКК</v>
      </c>
      <c r="K12" s="17" t="str">
        <f>'Пр №1'!K11</f>
        <v>ХХХХ</v>
      </c>
      <c r="L12" s="17" t="str">
        <f>'Пр №1'!L11</f>
        <v>от</v>
      </c>
      <c r="M12" s="99" t="str">
        <f>'Пр №1'!M11</f>
        <v>ХХХХ</v>
      </c>
      <c r="N12" s="350" t="str">
        <f>Дог.!N19</f>
        <v>зарегистрированный(-ая)</v>
      </c>
      <c r="O12" s="350"/>
      <c r="P12" s="350"/>
      <c r="Q12" s="350"/>
    </row>
    <row r="13" spans="1:17" ht="21" x14ac:dyDescent="0.25">
      <c r="A13" s="349" t="s">
        <v>36</v>
      </c>
      <c r="B13" s="349"/>
      <c r="C13" s="298" t="str">
        <f>'Акт прием'!C13:G13</f>
        <v>Чуйская область г. Бишкек</v>
      </c>
      <c r="D13" s="298"/>
      <c r="E13" s="298"/>
      <c r="F13" s="298"/>
      <c r="G13" s="298"/>
      <c r="H13" s="298"/>
      <c r="I13" s="298" t="str">
        <f>'Акт прием'!I13:M13</f>
        <v>ул. ХХХХХ</v>
      </c>
      <c r="J13" s="298"/>
      <c r="K13" s="298"/>
      <c r="L13" s="298"/>
      <c r="M13" s="298"/>
      <c r="N13" s="349" t="s">
        <v>37</v>
      </c>
      <c r="O13" s="349"/>
      <c r="P13" s="349"/>
      <c r="Q13" s="349"/>
    </row>
    <row r="14" spans="1:17" ht="21" x14ac:dyDescent="0.25">
      <c r="A14" s="298" t="str">
        <f>'Акт прием'!A14:E14</f>
        <v>Чуйская область г. Бишкек</v>
      </c>
      <c r="B14" s="298"/>
      <c r="C14" s="298"/>
      <c r="D14" s="298"/>
      <c r="E14" s="298"/>
      <c r="F14" s="298"/>
      <c r="G14" s="298"/>
      <c r="H14" s="298" t="str">
        <f>'Пр №1'!H13:Q13</f>
        <v>ул. ХХХХХ</v>
      </c>
      <c r="I14" s="298"/>
      <c r="J14" s="298"/>
      <c r="K14" s="298"/>
      <c r="L14" s="298"/>
      <c r="M14" s="298"/>
      <c r="N14" s="298"/>
      <c r="O14" s="298"/>
      <c r="P14" s="298"/>
      <c r="Q14" s="298"/>
    </row>
    <row r="15" spans="1:17" ht="21" x14ac:dyDescent="0.25">
      <c r="A15" s="298" t="s">
        <v>258</v>
      </c>
      <c r="B15" s="298"/>
      <c r="C15" s="301" t="str">
        <f>'Пр №1'!C14:F14</f>
        <v>ХХХХ</v>
      </c>
      <c r="D15" s="301"/>
      <c r="E15" s="301"/>
      <c r="F15" s="301"/>
      <c r="G15" s="298" t="s">
        <v>39</v>
      </c>
      <c r="H15" s="298"/>
      <c r="I15" s="298"/>
      <c r="J15" s="298"/>
      <c r="K15" s="298">
        <f>'Пр №1'!K14:P14</f>
        <v>0</v>
      </c>
      <c r="L15" s="298"/>
      <c r="M15" s="298"/>
      <c r="N15" s="298"/>
      <c r="O15" s="298"/>
      <c r="P15" s="298"/>
      <c r="Q15" s="20"/>
    </row>
    <row r="16" spans="1:17" ht="21.75" thickBot="1" x14ac:dyDescent="0.4">
      <c r="A16" s="290" t="s">
        <v>553</v>
      </c>
      <c r="B16" s="290"/>
      <c r="C16" s="290"/>
      <c r="D16" s="290"/>
      <c r="E16" s="290"/>
      <c r="F16" s="290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</row>
    <row r="17" spans="1:17" ht="21.75" thickBot="1" x14ac:dyDescent="0.4">
      <c r="A17" s="293" t="s">
        <v>51</v>
      </c>
      <c r="B17" s="293"/>
      <c r="C17" s="293"/>
      <c r="D17" s="293"/>
      <c r="E17" s="293"/>
      <c r="F17" s="293"/>
      <c r="G17" s="293"/>
      <c r="H17" s="293"/>
      <c r="I17" s="293"/>
      <c r="J17" s="5" t="s">
        <v>12</v>
      </c>
      <c r="K17" s="216">
        <f ca="1">K5</f>
        <v>9</v>
      </c>
      <c r="L17" s="217">
        <f ca="1">L5</f>
        <v>1</v>
      </c>
      <c r="M17" s="217">
        <f ca="1">M5</f>
        <v>2026</v>
      </c>
      <c r="N17" s="223">
        <f ca="1">N5</f>
        <v>46031.871582060186</v>
      </c>
      <c r="O17" s="224">
        <f>O5</f>
        <v>1</v>
      </c>
    </row>
    <row r="18" spans="1:17" ht="21.75" thickBot="1" x14ac:dyDescent="0.4">
      <c r="A18" s="290" t="s">
        <v>427</v>
      </c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</row>
    <row r="19" spans="1:17" ht="65.25" customHeight="1" thickBot="1" x14ac:dyDescent="0.3">
      <c r="A19" s="54" t="s">
        <v>12</v>
      </c>
      <c r="B19" s="421" t="s">
        <v>377</v>
      </c>
      <c r="C19" s="422"/>
      <c r="D19" s="422"/>
      <c r="E19" s="422"/>
      <c r="F19" s="55" t="str">
        <f>'Пр №1'!J19</f>
        <v>Дата и время выдачи   Имущества</v>
      </c>
      <c r="G19" s="272" t="str">
        <f>'Акт возв'!J20</f>
        <v>Дата и время возврата</v>
      </c>
      <c r="H19" s="417" t="s">
        <v>326</v>
      </c>
      <c r="I19" s="417"/>
      <c r="J19" s="417" t="s">
        <v>375</v>
      </c>
      <c r="K19" s="417"/>
      <c r="L19" s="55" t="s">
        <v>69</v>
      </c>
      <c r="M19" s="273" t="s">
        <v>324</v>
      </c>
      <c r="N19" s="419" t="s">
        <v>61</v>
      </c>
      <c r="O19" s="419"/>
      <c r="P19" s="419" t="s">
        <v>68</v>
      </c>
      <c r="Q19" s="420"/>
    </row>
    <row r="20" spans="1:17" ht="21" customHeight="1" x14ac:dyDescent="0.25">
      <c r="A20" s="423">
        <v>1</v>
      </c>
      <c r="B20" s="425" t="str">
        <f>'Пр №1'!B20</f>
        <v>XXXXXXX</v>
      </c>
      <c r="C20" s="426"/>
      <c r="D20" s="426"/>
      <c r="E20" s="427"/>
      <c r="F20" s="271">
        <f ca="1">'Пр №1'!J20</f>
        <v>46031.871582060186</v>
      </c>
      <c r="G20" s="271"/>
      <c r="H20" s="418">
        <f ca="1">'Пр №1'!J20</f>
        <v>46031.871582060186</v>
      </c>
      <c r="I20" s="418"/>
      <c r="J20" s="431">
        <f>'Пр №1'!I20</f>
        <v>1</v>
      </c>
      <c r="K20" s="432"/>
      <c r="L20" s="444">
        <f ca="1">H21-F21</f>
        <v>0</v>
      </c>
      <c r="M20" s="432" t="s">
        <v>325</v>
      </c>
      <c r="N20" s="435">
        <f>'Пр №1'!N20</f>
        <v>1500</v>
      </c>
      <c r="O20" s="436"/>
      <c r="P20" s="439">
        <f ca="1">J20*L20*N20</f>
        <v>0</v>
      </c>
      <c r="Q20" s="440"/>
    </row>
    <row r="21" spans="1:17" ht="21" customHeight="1" x14ac:dyDescent="0.25">
      <c r="A21" s="424"/>
      <c r="B21" s="428"/>
      <c r="C21" s="429"/>
      <c r="D21" s="429"/>
      <c r="E21" s="430"/>
      <c r="F21" s="87">
        <f ca="1">'Пр №1'!J21</f>
        <v>46031</v>
      </c>
      <c r="G21" s="87"/>
      <c r="H21" s="443">
        <f ca="1">'Пр №1'!J21</f>
        <v>46031</v>
      </c>
      <c r="I21" s="443"/>
      <c r="J21" s="433"/>
      <c r="K21" s="434"/>
      <c r="L21" s="445"/>
      <c r="M21" s="434"/>
      <c r="N21" s="437"/>
      <c r="O21" s="438"/>
      <c r="P21" s="441"/>
      <c r="Q21" s="442"/>
    </row>
    <row r="22" spans="1:17" ht="21" customHeight="1" x14ac:dyDescent="0.25">
      <c r="A22" s="450">
        <v>2</v>
      </c>
      <c r="B22" s="451">
        <f>'Пр №1'!B22:E23</f>
        <v>0</v>
      </c>
      <c r="C22" s="452"/>
      <c r="D22" s="452"/>
      <c r="E22" s="453"/>
      <c r="F22" s="186"/>
      <c r="G22" s="186"/>
      <c r="H22" s="456"/>
      <c r="I22" s="456"/>
      <c r="J22" s="454">
        <f>'Пр №1'!I22</f>
        <v>0</v>
      </c>
      <c r="K22" s="455"/>
      <c r="L22" s="445">
        <f t="shared" ref="L22" si="0">H23-F23</f>
        <v>0</v>
      </c>
      <c r="M22" s="455"/>
      <c r="N22" s="446"/>
      <c r="O22" s="447"/>
      <c r="P22" s="448">
        <f t="shared" ref="P22" si="1">J22*L22*N22</f>
        <v>0</v>
      </c>
      <c r="Q22" s="449"/>
    </row>
    <row r="23" spans="1:17" ht="21" customHeight="1" x14ac:dyDescent="0.25">
      <c r="A23" s="424"/>
      <c r="B23" s="428"/>
      <c r="C23" s="429"/>
      <c r="D23" s="429"/>
      <c r="E23" s="430"/>
      <c r="F23" s="87"/>
      <c r="G23" s="87"/>
      <c r="H23" s="443"/>
      <c r="I23" s="443"/>
      <c r="J23" s="433"/>
      <c r="K23" s="434"/>
      <c r="L23" s="445"/>
      <c r="M23" s="434"/>
      <c r="N23" s="437"/>
      <c r="O23" s="438"/>
      <c r="P23" s="441"/>
      <c r="Q23" s="442"/>
    </row>
    <row r="24" spans="1:17" ht="21" customHeight="1" x14ac:dyDescent="0.25">
      <c r="A24" s="450">
        <v>3</v>
      </c>
      <c r="B24" s="451">
        <f>'Пр №1'!B24:E25</f>
        <v>0</v>
      </c>
      <c r="C24" s="452"/>
      <c r="D24" s="452"/>
      <c r="E24" s="453"/>
      <c r="F24" s="186"/>
      <c r="G24" s="186"/>
      <c r="H24" s="456"/>
      <c r="I24" s="456"/>
      <c r="J24" s="454">
        <f>'Пр №1'!I24</f>
        <v>0</v>
      </c>
      <c r="K24" s="455"/>
      <c r="L24" s="445">
        <f t="shared" ref="L24" si="2">H25-F25</f>
        <v>0</v>
      </c>
      <c r="M24" s="455"/>
      <c r="N24" s="446"/>
      <c r="O24" s="447"/>
      <c r="P24" s="448">
        <f t="shared" ref="P24" si="3">J24*L24*N24</f>
        <v>0</v>
      </c>
      <c r="Q24" s="449"/>
    </row>
    <row r="25" spans="1:17" ht="21" customHeight="1" x14ac:dyDescent="0.25">
      <c r="A25" s="424"/>
      <c r="B25" s="428"/>
      <c r="C25" s="429"/>
      <c r="D25" s="429"/>
      <c r="E25" s="430"/>
      <c r="F25" s="87"/>
      <c r="G25" s="87"/>
      <c r="H25" s="443"/>
      <c r="I25" s="443"/>
      <c r="J25" s="433"/>
      <c r="K25" s="434"/>
      <c r="L25" s="445"/>
      <c r="M25" s="434"/>
      <c r="N25" s="437"/>
      <c r="O25" s="438"/>
      <c r="P25" s="441"/>
      <c r="Q25" s="442"/>
    </row>
    <row r="26" spans="1:17" ht="21" customHeight="1" x14ac:dyDescent="0.25">
      <c r="A26" s="450">
        <v>4</v>
      </c>
      <c r="B26" s="451">
        <f>'Пр №1'!B26:E27</f>
        <v>0</v>
      </c>
      <c r="C26" s="452"/>
      <c r="D26" s="452"/>
      <c r="E26" s="453"/>
      <c r="F26" s="186"/>
      <c r="G26" s="186"/>
      <c r="H26" s="456"/>
      <c r="I26" s="456"/>
      <c r="J26" s="454">
        <f>'Пр №1'!I26</f>
        <v>0</v>
      </c>
      <c r="K26" s="455"/>
      <c r="L26" s="445">
        <f t="shared" ref="L26" si="4">H27-F27</f>
        <v>0</v>
      </c>
      <c r="M26" s="455"/>
      <c r="N26" s="446"/>
      <c r="O26" s="447"/>
      <c r="P26" s="448">
        <f t="shared" ref="P26" si="5">J26*L26*N26</f>
        <v>0</v>
      </c>
      <c r="Q26" s="449"/>
    </row>
    <row r="27" spans="1:17" ht="21" customHeight="1" x14ac:dyDescent="0.25">
      <c r="A27" s="424"/>
      <c r="B27" s="428"/>
      <c r="C27" s="429"/>
      <c r="D27" s="429"/>
      <c r="E27" s="430"/>
      <c r="F27" s="87"/>
      <c r="G27" s="87"/>
      <c r="H27" s="443"/>
      <c r="I27" s="443"/>
      <c r="J27" s="433"/>
      <c r="K27" s="434"/>
      <c r="L27" s="445"/>
      <c r="M27" s="434"/>
      <c r="N27" s="437"/>
      <c r="O27" s="438"/>
      <c r="P27" s="441"/>
      <c r="Q27" s="442"/>
    </row>
    <row r="28" spans="1:17" ht="21" customHeight="1" x14ac:dyDescent="0.25">
      <c r="A28" s="450">
        <v>5</v>
      </c>
      <c r="B28" s="451">
        <f>'Пр №1'!B28:E29</f>
        <v>0</v>
      </c>
      <c r="C28" s="452"/>
      <c r="D28" s="452"/>
      <c r="E28" s="453"/>
      <c r="F28" s="186"/>
      <c r="G28" s="186"/>
      <c r="H28" s="456"/>
      <c r="I28" s="456"/>
      <c r="J28" s="454">
        <f>'Пр №1'!I28</f>
        <v>0</v>
      </c>
      <c r="K28" s="455"/>
      <c r="L28" s="445">
        <f t="shared" ref="L28:L38" si="6">H29-F29</f>
        <v>0</v>
      </c>
      <c r="M28" s="455"/>
      <c r="N28" s="446"/>
      <c r="O28" s="447"/>
      <c r="P28" s="448">
        <f t="shared" ref="P28" si="7">J28*L28*N28</f>
        <v>0</v>
      </c>
      <c r="Q28" s="449"/>
    </row>
    <row r="29" spans="1:17" ht="21" customHeight="1" x14ac:dyDescent="0.25">
      <c r="A29" s="424"/>
      <c r="B29" s="428"/>
      <c r="C29" s="429"/>
      <c r="D29" s="429"/>
      <c r="E29" s="430"/>
      <c r="F29" s="87"/>
      <c r="G29" s="87"/>
      <c r="H29" s="443"/>
      <c r="I29" s="443"/>
      <c r="J29" s="433"/>
      <c r="K29" s="434"/>
      <c r="L29" s="445"/>
      <c r="M29" s="434"/>
      <c r="N29" s="437"/>
      <c r="O29" s="438"/>
      <c r="P29" s="441"/>
      <c r="Q29" s="442"/>
    </row>
    <row r="30" spans="1:17" ht="21" customHeight="1" x14ac:dyDescent="0.25">
      <c r="A30" s="450">
        <v>6</v>
      </c>
      <c r="B30" s="451"/>
      <c r="C30" s="452"/>
      <c r="D30" s="452"/>
      <c r="E30" s="453"/>
      <c r="F30" s="186"/>
      <c r="G30" s="186"/>
      <c r="H30" s="456"/>
      <c r="I30" s="456"/>
      <c r="J30" s="454"/>
      <c r="K30" s="455"/>
      <c r="L30" s="445">
        <f t="shared" si="6"/>
        <v>0</v>
      </c>
      <c r="M30" s="455"/>
      <c r="N30" s="446"/>
      <c r="O30" s="447"/>
      <c r="P30" s="448">
        <f t="shared" ref="P30" si="8">J30*L30*N30</f>
        <v>0</v>
      </c>
      <c r="Q30" s="449"/>
    </row>
    <row r="31" spans="1:17" ht="21" customHeight="1" x14ac:dyDescent="0.25">
      <c r="A31" s="424"/>
      <c r="B31" s="428"/>
      <c r="C31" s="429"/>
      <c r="D31" s="429"/>
      <c r="E31" s="430"/>
      <c r="F31" s="87"/>
      <c r="G31" s="87"/>
      <c r="H31" s="443"/>
      <c r="I31" s="443"/>
      <c r="J31" s="433"/>
      <c r="K31" s="434"/>
      <c r="L31" s="445"/>
      <c r="M31" s="434"/>
      <c r="N31" s="437"/>
      <c r="O31" s="438"/>
      <c r="P31" s="441"/>
      <c r="Q31" s="442"/>
    </row>
    <row r="32" spans="1:17" ht="21" customHeight="1" x14ac:dyDescent="0.25">
      <c r="A32" s="450">
        <v>7</v>
      </c>
      <c r="B32" s="451"/>
      <c r="C32" s="452"/>
      <c r="D32" s="452"/>
      <c r="E32" s="453"/>
      <c r="F32" s="186"/>
      <c r="G32" s="186"/>
      <c r="H32" s="456"/>
      <c r="I32" s="456"/>
      <c r="J32" s="454"/>
      <c r="K32" s="455"/>
      <c r="L32" s="445">
        <f t="shared" si="6"/>
        <v>0</v>
      </c>
      <c r="M32" s="455"/>
      <c r="N32" s="446"/>
      <c r="O32" s="447"/>
      <c r="P32" s="448">
        <f t="shared" ref="P32" si="9">J32*L32*N32</f>
        <v>0</v>
      </c>
      <c r="Q32" s="449"/>
    </row>
    <row r="33" spans="1:17" ht="21" customHeight="1" x14ac:dyDescent="0.25">
      <c r="A33" s="424"/>
      <c r="B33" s="428"/>
      <c r="C33" s="429"/>
      <c r="D33" s="429"/>
      <c r="E33" s="430"/>
      <c r="F33" s="87"/>
      <c r="G33" s="87"/>
      <c r="H33" s="443"/>
      <c r="I33" s="443"/>
      <c r="J33" s="433"/>
      <c r="K33" s="434"/>
      <c r="L33" s="445"/>
      <c r="M33" s="434"/>
      <c r="N33" s="437"/>
      <c r="O33" s="438"/>
      <c r="P33" s="441"/>
      <c r="Q33" s="442"/>
    </row>
    <row r="34" spans="1:17" ht="21" customHeight="1" x14ac:dyDescent="0.25">
      <c r="A34" s="450">
        <v>8</v>
      </c>
      <c r="B34" s="451"/>
      <c r="C34" s="452"/>
      <c r="D34" s="452"/>
      <c r="E34" s="453"/>
      <c r="F34" s="186"/>
      <c r="G34" s="186"/>
      <c r="H34" s="456"/>
      <c r="I34" s="456"/>
      <c r="J34" s="454"/>
      <c r="K34" s="455"/>
      <c r="L34" s="445">
        <f t="shared" si="6"/>
        <v>0</v>
      </c>
      <c r="M34" s="455"/>
      <c r="N34" s="446"/>
      <c r="O34" s="447"/>
      <c r="P34" s="448">
        <f t="shared" ref="P34" si="10">J34*L34*N34</f>
        <v>0</v>
      </c>
      <c r="Q34" s="449"/>
    </row>
    <row r="35" spans="1:17" ht="21" customHeight="1" x14ac:dyDescent="0.25">
      <c r="A35" s="424"/>
      <c r="B35" s="428"/>
      <c r="C35" s="429"/>
      <c r="D35" s="429"/>
      <c r="E35" s="430"/>
      <c r="F35" s="87"/>
      <c r="G35" s="87"/>
      <c r="H35" s="443"/>
      <c r="I35" s="443"/>
      <c r="J35" s="433"/>
      <c r="K35" s="434"/>
      <c r="L35" s="445"/>
      <c r="M35" s="434"/>
      <c r="N35" s="437"/>
      <c r="O35" s="438"/>
      <c r="P35" s="441"/>
      <c r="Q35" s="442"/>
    </row>
    <row r="36" spans="1:17" ht="21" customHeight="1" x14ac:dyDescent="0.25">
      <c r="A36" s="450">
        <v>9</v>
      </c>
      <c r="B36" s="451"/>
      <c r="C36" s="452"/>
      <c r="D36" s="452"/>
      <c r="E36" s="453"/>
      <c r="F36" s="186"/>
      <c r="G36" s="186"/>
      <c r="H36" s="456"/>
      <c r="I36" s="456"/>
      <c r="J36" s="454"/>
      <c r="K36" s="455"/>
      <c r="L36" s="445">
        <f t="shared" si="6"/>
        <v>0</v>
      </c>
      <c r="M36" s="455"/>
      <c r="N36" s="446"/>
      <c r="O36" s="447"/>
      <c r="P36" s="448">
        <f t="shared" ref="P36" si="11">J36*L36*N36</f>
        <v>0</v>
      </c>
      <c r="Q36" s="449"/>
    </row>
    <row r="37" spans="1:17" ht="21" customHeight="1" x14ac:dyDescent="0.25">
      <c r="A37" s="424"/>
      <c r="B37" s="428"/>
      <c r="C37" s="429"/>
      <c r="D37" s="429"/>
      <c r="E37" s="430"/>
      <c r="F37" s="87"/>
      <c r="G37" s="87"/>
      <c r="H37" s="443"/>
      <c r="I37" s="443"/>
      <c r="J37" s="433"/>
      <c r="K37" s="434"/>
      <c r="L37" s="445"/>
      <c r="M37" s="434"/>
      <c r="N37" s="437"/>
      <c r="O37" s="438"/>
      <c r="P37" s="441"/>
      <c r="Q37" s="442"/>
    </row>
    <row r="38" spans="1:17" ht="21" customHeight="1" x14ac:dyDescent="0.25">
      <c r="A38" s="450">
        <v>10</v>
      </c>
      <c r="B38" s="451"/>
      <c r="C38" s="452"/>
      <c r="D38" s="452"/>
      <c r="E38" s="453"/>
      <c r="F38" s="186"/>
      <c r="G38" s="186"/>
      <c r="H38" s="456"/>
      <c r="I38" s="456"/>
      <c r="J38" s="454"/>
      <c r="K38" s="455"/>
      <c r="L38" s="445">
        <f t="shared" si="6"/>
        <v>0</v>
      </c>
      <c r="M38" s="455"/>
      <c r="N38" s="446"/>
      <c r="O38" s="447"/>
      <c r="P38" s="448">
        <f t="shared" ref="P38" si="12">J38*L38*N38</f>
        <v>0</v>
      </c>
      <c r="Q38" s="449"/>
    </row>
    <row r="39" spans="1:17" ht="21" customHeight="1" thickBot="1" x14ac:dyDescent="0.3">
      <c r="A39" s="423"/>
      <c r="B39" s="425"/>
      <c r="C39" s="426"/>
      <c r="D39" s="426"/>
      <c r="E39" s="427"/>
      <c r="F39" s="87"/>
      <c r="G39" s="87"/>
      <c r="H39" s="443"/>
      <c r="I39" s="443"/>
      <c r="J39" s="431"/>
      <c r="K39" s="432"/>
      <c r="L39" s="457"/>
      <c r="M39" s="432"/>
      <c r="N39" s="435"/>
      <c r="O39" s="436"/>
      <c r="P39" s="441"/>
      <c r="Q39" s="442"/>
    </row>
    <row r="40" spans="1:17" ht="21" hidden="1" customHeight="1" outlineLevel="1" thickBot="1" x14ac:dyDescent="0.4">
      <c r="A40" s="270"/>
      <c r="B40" s="494" t="s">
        <v>798</v>
      </c>
      <c r="C40" s="494"/>
      <c r="D40" s="494"/>
      <c r="E40" s="494"/>
      <c r="F40" s="495"/>
      <c r="G40" s="495"/>
      <c r="H40" s="495"/>
      <c r="I40" s="495"/>
      <c r="J40" s="496"/>
      <c r="K40" s="497"/>
      <c r="L40" s="497"/>
      <c r="M40" s="498"/>
      <c r="N40" s="499"/>
      <c r="O40" s="500"/>
      <c r="P40" s="501">
        <f ca="1">(SUM(P20:Q39))*N40</f>
        <v>0</v>
      </c>
      <c r="Q40" s="502"/>
    </row>
    <row r="41" spans="1:17" ht="21" customHeight="1" collapsed="1" x14ac:dyDescent="0.25">
      <c r="A41" s="484"/>
      <c r="B41" s="485"/>
      <c r="C41" s="485"/>
      <c r="D41" s="485"/>
      <c r="E41" s="485"/>
      <c r="F41" s="485"/>
      <c r="G41" s="485"/>
      <c r="H41" s="485"/>
      <c r="I41" s="485"/>
      <c r="J41" s="488" t="s">
        <v>697</v>
      </c>
      <c r="K41" s="489"/>
      <c r="L41" s="490"/>
      <c r="M41" s="241">
        <f ca="1">'Пр №1'!J21</f>
        <v>46031</v>
      </c>
      <c r="N41" s="466" t="s">
        <v>62</v>
      </c>
      <c r="O41" s="467"/>
      <c r="P41" s="468">
        <f ca="1">SUM(P20:Q39)</f>
        <v>0</v>
      </c>
      <c r="Q41" s="469"/>
    </row>
    <row r="42" spans="1:17" ht="21" customHeight="1" thickBot="1" x14ac:dyDescent="0.3">
      <c r="A42" s="486"/>
      <c r="B42" s="487"/>
      <c r="C42" s="487"/>
      <c r="D42" s="487"/>
      <c r="E42" s="487"/>
      <c r="F42" s="487"/>
      <c r="G42" s="487"/>
      <c r="H42" s="487"/>
      <c r="I42" s="487"/>
      <c r="J42" s="491" t="s">
        <v>696</v>
      </c>
      <c r="K42" s="492"/>
      <c r="L42" s="492"/>
      <c r="M42" s="242">
        <f ca="1">Обяз!K22</f>
        <v>46032</v>
      </c>
      <c r="N42" s="504" t="s">
        <v>544</v>
      </c>
      <c r="O42" s="505"/>
      <c r="P42" s="506">
        <f>'Пр №1'!P30:Q30</f>
        <v>3000</v>
      </c>
      <c r="Q42" s="507"/>
    </row>
    <row r="43" spans="1:17" ht="21" hidden="1" customHeight="1" outlineLevel="1" thickBot="1" x14ac:dyDescent="0.4">
      <c r="A43" s="54" t="s">
        <v>12</v>
      </c>
      <c r="B43" s="470" t="s">
        <v>372</v>
      </c>
      <c r="C43" s="471"/>
      <c r="D43" s="471"/>
      <c r="E43" s="471"/>
      <c r="F43" s="471"/>
      <c r="G43" s="471"/>
      <c r="H43" s="471"/>
      <c r="I43" s="471"/>
      <c r="J43" s="472"/>
      <c r="K43" s="473"/>
      <c r="L43" s="508" t="s">
        <v>528</v>
      </c>
      <c r="M43" s="508"/>
      <c r="N43" s="464" t="s">
        <v>69</v>
      </c>
      <c r="O43" s="465"/>
      <c r="P43" s="462"/>
      <c r="Q43" s="463"/>
    </row>
    <row r="44" spans="1:17" ht="21" hidden="1" customHeight="1" outlineLevel="2" thickBot="1" x14ac:dyDescent="0.4">
      <c r="A44" s="232">
        <v>1</v>
      </c>
      <c r="B44" s="474" t="s">
        <v>371</v>
      </c>
      <c r="C44" s="475"/>
      <c r="D44" s="475"/>
      <c r="E44" s="475"/>
      <c r="F44" s="475"/>
      <c r="G44" s="475"/>
      <c r="H44" s="475"/>
      <c r="I44" s="475"/>
      <c r="J44" s="475"/>
      <c r="K44" s="476"/>
      <c r="L44" s="493" t="s">
        <v>699</v>
      </c>
      <c r="M44" s="493"/>
      <c r="N44" s="460">
        <f ca="1">'Пр №1'!J21</f>
        <v>46031</v>
      </c>
      <c r="O44" s="461"/>
      <c r="P44" s="503"/>
      <c r="Q44" s="503"/>
    </row>
    <row r="45" spans="1:17" ht="21" hidden="1" customHeight="1" outlineLevel="2" thickBot="1" x14ac:dyDescent="0.4">
      <c r="A45" s="28">
        <v>2</v>
      </c>
      <c r="B45" s="399" t="s">
        <v>392</v>
      </c>
      <c r="C45" s="400"/>
      <c r="D45" s="400"/>
      <c r="E45" s="400"/>
      <c r="F45" s="400"/>
      <c r="G45" s="400"/>
      <c r="H45" s="400"/>
      <c r="I45" s="400"/>
      <c r="J45" s="481"/>
      <c r="K45" s="482"/>
      <c r="L45" s="405" t="s">
        <v>64</v>
      </c>
      <c r="M45" s="483"/>
      <c r="N45" s="479"/>
      <c r="O45" s="480"/>
      <c r="P45" s="395">
        <f>'Акт прием'!N21*1%*N45</f>
        <v>0</v>
      </c>
      <c r="Q45" s="396"/>
    </row>
    <row r="46" spans="1:17" ht="21" hidden="1" customHeight="1" outlineLevel="2" thickBot="1" x14ac:dyDescent="0.4">
      <c r="A46" s="28">
        <v>3</v>
      </c>
      <c r="B46" s="477" t="s">
        <v>370</v>
      </c>
      <c r="C46" s="478"/>
      <c r="D46" s="478"/>
      <c r="E46" s="478"/>
      <c r="F46" s="478"/>
      <c r="G46" s="478"/>
      <c r="H46" s="478"/>
      <c r="I46" s="478"/>
      <c r="J46" s="478"/>
      <c r="K46" s="458"/>
      <c r="L46" s="458" t="s">
        <v>698</v>
      </c>
      <c r="M46" s="459"/>
      <c r="N46" s="460">
        <f ca="1">M42</f>
        <v>46032</v>
      </c>
      <c r="O46" s="461"/>
      <c r="P46" s="394"/>
      <c r="Q46" s="394"/>
    </row>
    <row r="47" spans="1:17" ht="21" hidden="1" customHeight="1" outlineLevel="2" thickBot="1" x14ac:dyDescent="0.3">
      <c r="A47" s="28">
        <v>4</v>
      </c>
      <c r="B47" s="399" t="s">
        <v>369</v>
      </c>
      <c r="C47" s="400"/>
      <c r="D47" s="400"/>
      <c r="E47" s="400"/>
      <c r="F47" s="400"/>
      <c r="G47" s="400"/>
      <c r="H47" s="400"/>
      <c r="I47" s="400"/>
      <c r="J47" s="401"/>
      <c r="K47" s="402"/>
      <c r="L47" s="404" t="s">
        <v>64</v>
      </c>
      <c r="M47" s="405"/>
      <c r="N47" s="406"/>
      <c r="O47" s="407"/>
      <c r="P47" s="395">
        <f>'Акт прием'!N21*1%*N47</f>
        <v>0</v>
      </c>
      <c r="Q47" s="396"/>
    </row>
    <row r="48" spans="1:17" ht="21" hidden="1" customHeight="1" outlineLevel="2" thickBot="1" x14ac:dyDescent="0.3">
      <c r="A48" s="28">
        <v>5</v>
      </c>
      <c r="B48" s="403" t="s">
        <v>527</v>
      </c>
      <c r="C48" s="403"/>
      <c r="D48" s="403"/>
      <c r="E48" s="403"/>
      <c r="F48" s="403"/>
      <c r="G48" s="403"/>
      <c r="H48" s="403"/>
      <c r="I48" s="403"/>
      <c r="J48" s="403"/>
      <c r="K48" s="403"/>
      <c r="L48" s="404" t="s">
        <v>526</v>
      </c>
      <c r="M48" s="405"/>
      <c r="N48" s="406"/>
      <c r="O48" s="407"/>
      <c r="P48" s="408">
        <f ca="1">(P41-P42)*1%*N48</f>
        <v>0</v>
      </c>
      <c r="Q48" s="409"/>
    </row>
    <row r="49" spans="1:17" ht="21" customHeight="1" collapsed="1" x14ac:dyDescent="0.25">
      <c r="A49" s="28"/>
      <c r="B49" s="410" t="s">
        <v>136</v>
      </c>
      <c r="C49" s="411"/>
      <c r="D49" s="411"/>
      <c r="E49" s="411"/>
      <c r="F49" s="411"/>
      <c r="G49" s="411"/>
      <c r="H49" s="411"/>
      <c r="I49" s="411"/>
      <c r="J49" s="411"/>
      <c r="K49" s="411"/>
      <c r="L49" s="411"/>
      <c r="M49" s="411"/>
      <c r="N49" s="412"/>
      <c r="O49" s="413"/>
      <c r="P49" s="394">
        <f ca="1">P41-P42+P45+P47+P48-P40</f>
        <v>-3000</v>
      </c>
      <c r="Q49" s="394"/>
    </row>
    <row r="50" spans="1:17" ht="21" x14ac:dyDescent="0.35">
      <c r="A50" s="290" t="s">
        <v>57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</row>
    <row r="51" spans="1:17" ht="21" x14ac:dyDescent="0.35">
      <c r="A51" s="290" t="s">
        <v>279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414">
        <f>P42</f>
        <v>3000</v>
      </c>
      <c r="N51" s="414"/>
      <c r="O51" s="414"/>
      <c r="P51" s="276" t="s">
        <v>80</v>
      </c>
      <c r="Q51" s="276"/>
    </row>
    <row r="52" spans="1:17" ht="21" x14ac:dyDescent="0.35">
      <c r="A52" s="3" t="s">
        <v>373</v>
      </c>
      <c r="B52" s="3"/>
      <c r="C52" s="3"/>
      <c r="D52" s="3"/>
      <c r="E52" s="3"/>
      <c r="F52" s="3"/>
      <c r="G52" s="3"/>
      <c r="H52" s="3"/>
      <c r="I52" s="3"/>
      <c r="J52" s="397">
        <f ca="1">P49</f>
        <v>-3000</v>
      </c>
      <c r="K52" s="397"/>
      <c r="L52" s="397"/>
      <c r="M52" s="398" t="s">
        <v>428</v>
      </c>
      <c r="N52" s="398"/>
      <c r="O52" s="398"/>
      <c r="P52" s="398"/>
      <c r="Q52" s="398"/>
    </row>
    <row r="53" spans="1:17" ht="21" x14ac:dyDescent="0.35">
      <c r="A53" s="290" t="s">
        <v>365</v>
      </c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</row>
    <row r="54" spans="1:17" ht="21" x14ac:dyDescent="0.35">
      <c r="A54" s="293" t="s">
        <v>374</v>
      </c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</row>
    <row r="55" spans="1:17" ht="21" x14ac:dyDescent="0.35">
      <c r="A55" s="293" t="s">
        <v>367</v>
      </c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</row>
    <row r="56" spans="1:17" ht="21" x14ac:dyDescent="0.35">
      <c r="A56" s="293" t="s">
        <v>366</v>
      </c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</row>
    <row r="57" spans="1:17" ht="21" x14ac:dyDescent="0.35">
      <c r="A57" s="290" t="s">
        <v>368</v>
      </c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</row>
    <row r="58" spans="1:17" ht="21" x14ac:dyDescent="0.35">
      <c r="A58" s="275" t="s">
        <v>6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</row>
    <row r="59" spans="1:17" ht="21" x14ac:dyDescent="0.35">
      <c r="A59" s="275" t="s">
        <v>45</v>
      </c>
      <c r="B59" s="275"/>
      <c r="C59" s="275"/>
      <c r="D59" s="275"/>
      <c r="E59" s="275"/>
      <c r="F59" s="275"/>
      <c r="G59" s="275"/>
      <c r="H59" s="1"/>
      <c r="I59" s="1"/>
      <c r="J59" s="275" t="s">
        <v>44</v>
      </c>
      <c r="K59" s="275"/>
      <c r="L59" s="275"/>
      <c r="M59" s="275"/>
      <c r="N59" s="275"/>
      <c r="O59" s="275"/>
      <c r="P59" s="275"/>
    </row>
    <row r="60" spans="1:17" ht="21" x14ac:dyDescent="0.35">
      <c r="A60" s="3" t="s">
        <v>10</v>
      </c>
      <c r="B60" s="290" t="str">
        <f>'Пр №1'!B50:G50</f>
        <v xml:space="preserve"> Зинченко Михаил Александрович</v>
      </c>
      <c r="C60" s="290"/>
      <c r="D60" s="290"/>
      <c r="E60" s="290"/>
      <c r="F60" s="290"/>
      <c r="G60" s="290"/>
      <c r="H60" s="3"/>
      <c r="I60" s="3"/>
      <c r="J60" s="290" t="str">
        <f>'Акт прием'!J35:K35</f>
        <v>Ф.И.О.:</v>
      </c>
      <c r="K60" s="290"/>
      <c r="L60" s="290" t="str">
        <f>'Пр №1'!L50:Q50</f>
        <v>ХХХХ ХХХХ ХХХХ</v>
      </c>
      <c r="M60" s="290"/>
      <c r="N60" s="290"/>
      <c r="O60" s="290"/>
      <c r="P60" s="290"/>
      <c r="Q60" s="290"/>
    </row>
    <row r="61" spans="1:17" ht="21" x14ac:dyDescent="0.35">
      <c r="A61" s="3" t="s">
        <v>28</v>
      </c>
      <c r="B61" s="363">
        <f>'Пр №1'!B51:G51</f>
        <v>22212200650516</v>
      </c>
      <c r="C61" s="363"/>
      <c r="D61" s="363"/>
      <c r="E61" s="363"/>
      <c r="F61" s="363"/>
      <c r="G61" s="363"/>
      <c r="H61" s="3"/>
      <c r="I61" s="12"/>
      <c r="J61" s="363" t="str">
        <f>'Акт прием'!J36:K36</f>
        <v>ПИН:</v>
      </c>
      <c r="K61" s="363"/>
      <c r="L61" s="363" t="str">
        <f>'Пр №1'!L51:P51</f>
        <v>ХХХХ</v>
      </c>
      <c r="M61" s="363"/>
      <c r="N61" s="363"/>
      <c r="O61" s="363"/>
      <c r="P61" s="363"/>
      <c r="Q61" s="23"/>
    </row>
    <row r="62" spans="1:17" ht="21" x14ac:dyDescent="0.35">
      <c r="A62" s="290" t="s">
        <v>29</v>
      </c>
      <c r="B62" s="290"/>
      <c r="C62" s="13" t="str">
        <f>'Пр №1'!C52</f>
        <v>ID</v>
      </c>
      <c r="D62" s="13" t="s">
        <v>12</v>
      </c>
      <c r="E62" s="290">
        <f>'Пр №1'!E52:G52</f>
        <v>3219844</v>
      </c>
      <c r="F62" s="290"/>
      <c r="G62" s="290"/>
      <c r="H62" s="3"/>
      <c r="I62" s="3"/>
      <c r="J62" s="290" t="str">
        <f>'Акт прием'!J37:K37</f>
        <v>Паспорт:</v>
      </c>
      <c r="K62" s="290"/>
      <c r="L62" s="13" t="str">
        <f>'Пр №1'!L52</f>
        <v>ХХХ</v>
      </c>
      <c r="M62" s="13" t="s">
        <v>12</v>
      </c>
      <c r="N62" s="290" t="str">
        <f>'Пр №1'!N52:O52</f>
        <v>ХХХХХ</v>
      </c>
      <c r="O62" s="290"/>
      <c r="P62" s="3"/>
    </row>
    <row r="63" spans="1:17" ht="21" x14ac:dyDescent="0.35">
      <c r="A63" s="290" t="s">
        <v>30</v>
      </c>
      <c r="B63" s="290"/>
      <c r="C63" s="290" t="str">
        <f>'Пр №1'!C53:G53</f>
        <v>МКК 218011 от 12.02.2023</v>
      </c>
      <c r="D63" s="290"/>
      <c r="E63" s="290"/>
      <c r="F63" s="290"/>
      <c r="G63" s="290"/>
      <c r="H63" s="16"/>
      <c r="I63" s="3"/>
      <c r="J63" s="290" t="str">
        <f>'Акт прием'!J38:K38</f>
        <v>Выдан:</v>
      </c>
      <c r="K63" s="290"/>
      <c r="L63" s="3" t="str">
        <f>'Пр №1'!L53</f>
        <v>МКК</v>
      </c>
      <c r="M63" s="3" t="str">
        <f>'Пр №1'!M53</f>
        <v>ХХХХ</v>
      </c>
      <c r="N63" s="3" t="str">
        <f>'Пр №1'!N53</f>
        <v>от</v>
      </c>
      <c r="O63" s="386" t="str">
        <f>'Пр №1'!O53</f>
        <v>ХХХХ</v>
      </c>
      <c r="P63" s="276"/>
    </row>
    <row r="64" spans="1:17" ht="21" x14ac:dyDescent="0.35">
      <c r="A64" s="290" t="s">
        <v>31</v>
      </c>
      <c r="B64" s="290"/>
      <c r="C64" s="290" t="str">
        <f>'Пр №1'!C54:G54</f>
        <v>г. Бишкек</v>
      </c>
      <c r="D64" s="290"/>
      <c r="E64" s="290"/>
      <c r="F64" s="290"/>
      <c r="G64" s="290"/>
      <c r="H64" s="11"/>
      <c r="I64" s="3"/>
      <c r="J64" s="290" t="str">
        <f>'Акт прием'!J39:K39</f>
        <v>Адрес:</v>
      </c>
      <c r="K64" s="290"/>
      <c r="L64" s="290" t="str">
        <f>'Пр №1'!L54:Q54</f>
        <v>Чуйская область г. Бишкек</v>
      </c>
      <c r="M64" s="290"/>
      <c r="N64" s="290"/>
      <c r="O64" s="290"/>
      <c r="P64" s="290"/>
      <c r="Q64" s="290"/>
    </row>
    <row r="65" spans="1:17" ht="21" x14ac:dyDescent="0.35">
      <c r="A65" s="290" t="str">
        <f>'Пр №1'!A55:G55</f>
        <v>ул. Ялтинская д. №  56</v>
      </c>
      <c r="B65" s="290"/>
      <c r="C65" s="290"/>
      <c r="D65" s="290"/>
      <c r="E65" s="290"/>
      <c r="F65" s="290"/>
      <c r="G65" s="290"/>
      <c r="H65" s="3"/>
      <c r="I65" s="3"/>
      <c r="J65" s="290" t="str">
        <f>'Пр №1'!J55:P55</f>
        <v>ул. ХХХХХ</v>
      </c>
      <c r="K65" s="290"/>
      <c r="L65" s="290"/>
      <c r="M65" s="290"/>
      <c r="N65" s="290"/>
      <c r="O65" s="290"/>
      <c r="P65" s="290"/>
      <c r="Q65" s="290"/>
    </row>
    <row r="66" spans="1:17" ht="21" x14ac:dyDescent="0.35">
      <c r="A66" s="290" t="s">
        <v>32</v>
      </c>
      <c r="B66" s="290"/>
      <c r="C66" s="290"/>
      <c r="D66" s="290">
        <f>'Пр №1'!D56:G56</f>
        <v>720051</v>
      </c>
      <c r="E66" s="290"/>
      <c r="F66" s="290"/>
      <c r="G66" s="290"/>
      <c r="H66" s="11"/>
      <c r="I66" s="3"/>
      <c r="J66" s="290" t="str">
        <f>'Акт прием'!J41:L41</f>
        <v>Почтовый индекс:</v>
      </c>
      <c r="K66" s="290"/>
      <c r="L66" s="290"/>
      <c r="M66" s="290">
        <f>'Пр №1'!M56:N56</f>
        <v>0</v>
      </c>
      <c r="N66" s="290"/>
      <c r="O66" s="3"/>
      <c r="P66" s="3"/>
    </row>
    <row r="67" spans="1:17" ht="21" x14ac:dyDescent="0.35">
      <c r="A67" s="290" t="s">
        <v>7</v>
      </c>
      <c r="B67" s="290"/>
      <c r="C67" s="290"/>
      <c r="D67" s="290"/>
      <c r="E67" s="290"/>
      <c r="F67" s="290"/>
      <c r="G67" s="290"/>
      <c r="H67" s="3"/>
      <c r="I67" s="3"/>
      <c r="J67" s="290" t="str">
        <f>'Акт прием'!J42:P42</f>
        <v>Банковские реквизиты:</v>
      </c>
      <c r="K67" s="290"/>
      <c r="L67" s="290"/>
      <c r="M67" s="290"/>
      <c r="N67" s="290"/>
      <c r="O67" s="290"/>
      <c r="P67" s="290"/>
    </row>
    <row r="68" spans="1:17" ht="21" x14ac:dyDescent="0.35">
      <c r="A68" s="290" t="str">
        <f>'Пр №1'!A58:G58</f>
        <v>ОАО "МБАНК" ФИЛИАЛ "МБАНК ПЛАЗА"</v>
      </c>
      <c r="B68" s="290"/>
      <c r="C68" s="290"/>
      <c r="D68" s="290"/>
      <c r="E68" s="290"/>
      <c r="F68" s="290"/>
      <c r="G68" s="290"/>
      <c r="H68" s="3"/>
      <c r="I68" s="3"/>
      <c r="J68" s="290">
        <f>'Пр №1'!J58:P58</f>
        <v>0</v>
      </c>
      <c r="K68" s="290"/>
      <c r="L68" s="290"/>
      <c r="M68" s="290"/>
      <c r="N68" s="290"/>
      <c r="O68" s="290"/>
      <c r="P68" s="290"/>
    </row>
    <row r="69" spans="1:17" ht="21" x14ac:dyDescent="0.35">
      <c r="A69" s="3" t="s">
        <v>49</v>
      </c>
      <c r="B69" s="363" t="str">
        <f>'Пр №1'!B59:G59</f>
        <v>"1033220001521202"</v>
      </c>
      <c r="C69" s="363"/>
      <c r="D69" s="363"/>
      <c r="E69" s="363"/>
      <c r="F69" s="363"/>
      <c r="G69" s="363"/>
      <c r="H69" s="3"/>
      <c r="I69" s="3"/>
      <c r="J69" s="3" t="str">
        <f>'Акт прием'!J44</f>
        <v>р/c:</v>
      </c>
      <c r="K69" s="363">
        <f>'Пр №1'!K59:P59</f>
        <v>0</v>
      </c>
      <c r="L69" s="363"/>
      <c r="M69" s="363"/>
      <c r="N69" s="363"/>
      <c r="O69" s="363"/>
      <c r="P69" s="363"/>
    </row>
    <row r="70" spans="1:17" ht="21" x14ac:dyDescent="0.35">
      <c r="A70" s="3" t="s">
        <v>9</v>
      </c>
      <c r="B70" s="290">
        <f>'Пр №1'!B60:G60</f>
        <v>103032</v>
      </c>
      <c r="C70" s="290"/>
      <c r="D70" s="290"/>
      <c r="E70" s="290"/>
      <c r="F70" s="290"/>
      <c r="G70" s="290"/>
      <c r="H70" s="3"/>
      <c r="I70" s="3"/>
      <c r="J70" s="3" t="str">
        <f>'Акт прием'!J45</f>
        <v>БИК:</v>
      </c>
      <c r="K70" s="290">
        <f>'Пр №1'!K60:P60</f>
        <v>0</v>
      </c>
      <c r="L70" s="290"/>
      <c r="M70" s="290"/>
      <c r="N70" s="290"/>
      <c r="O70" s="290"/>
      <c r="P70" s="290"/>
    </row>
    <row r="71" spans="1:17" ht="21" x14ac:dyDescent="0.35">
      <c r="A71" s="290" t="str">
        <f>'Пр №1'!A61:G61</f>
        <v>УГНС 003 Свердловского района</v>
      </c>
      <c r="B71" s="290"/>
      <c r="C71" s="290"/>
      <c r="D71" s="290"/>
      <c r="E71" s="290"/>
      <c r="F71" s="290"/>
      <c r="G71" s="290"/>
      <c r="H71" s="3"/>
      <c r="I71" s="3"/>
      <c r="J71" s="290" t="str">
        <f>'Пр №1'!J61:P61</f>
        <v>УГНС 000</v>
      </c>
      <c r="K71" s="290"/>
      <c r="L71" s="290"/>
      <c r="M71" s="290"/>
      <c r="N71" s="290"/>
      <c r="O71" s="290"/>
      <c r="P71" s="290"/>
    </row>
    <row r="72" spans="1:17" ht="21" x14ac:dyDescent="0.35">
      <c r="A72" s="3" t="str">
        <f>'Акт прием'!A47</f>
        <v>ОКПО:</v>
      </c>
      <c r="B72" s="276">
        <f>'Пр №1'!B62</f>
        <v>33158934</v>
      </c>
      <c r="C72" s="27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7" ht="21" x14ac:dyDescent="0.35">
      <c r="A73" s="276" t="str">
        <f>'Акт прием'!A48:C48</f>
        <v>З. М.</v>
      </c>
      <c r="B73" s="276"/>
      <c r="C73" s="276"/>
      <c r="D73" s="276" t="str">
        <f>'Акт прием'!D48:F48</f>
        <v>________________________</v>
      </c>
      <c r="E73" s="276"/>
      <c r="F73" s="276"/>
      <c r="G73" s="3"/>
      <c r="H73" s="3"/>
      <c r="I73" s="3"/>
      <c r="J73" s="276" t="str">
        <f>'Пр №1'!J63:L63</f>
        <v>ХХХХ Х. Х.</v>
      </c>
      <c r="K73" s="276"/>
      <c r="L73" s="276"/>
      <c r="M73" s="290" t="s">
        <v>33</v>
      </c>
      <c r="N73" s="290"/>
      <c r="O73" s="290"/>
      <c r="P73" s="290"/>
    </row>
    <row r="74" spans="1:17" ht="21" x14ac:dyDescent="0.35">
      <c r="A74" s="3"/>
      <c r="B74" s="3"/>
      <c r="C74" s="3"/>
      <c r="D74" s="283" t="str">
        <f>'Акт прием'!D49:F49</f>
        <v>(подпись)</v>
      </c>
      <c r="E74" s="283"/>
      <c r="F74" s="283"/>
      <c r="G74" s="37"/>
      <c r="H74" s="37"/>
      <c r="I74" s="37"/>
      <c r="J74" s="37"/>
      <c r="K74" s="37"/>
      <c r="L74" s="37"/>
      <c r="M74" s="283">
        <f>'Акт прием'!M49:P49</f>
        <v>0</v>
      </c>
      <c r="N74" s="283"/>
      <c r="O74" s="283"/>
      <c r="P74" s="283"/>
    </row>
    <row r="75" spans="1:17" ht="21" x14ac:dyDescent="0.35">
      <c r="A75" s="416" t="str">
        <f>A7</f>
        <v xml:space="preserve"> Зинченко Михаил Александрович</v>
      </c>
      <c r="B75" s="416"/>
      <c r="C75" s="416"/>
      <c r="D75" s="416"/>
      <c r="E75" s="416"/>
      <c r="F75" s="416"/>
      <c r="G75" s="37"/>
      <c r="H75" s="37"/>
      <c r="I75" s="37"/>
      <c r="J75" s="183" t="s">
        <v>554</v>
      </c>
      <c r="K75" s="183"/>
      <c r="L75" s="183"/>
      <c r="M75" s="184"/>
      <c r="N75" s="184"/>
      <c r="O75" s="184"/>
      <c r="P75" s="184"/>
      <c r="Q75" s="185"/>
    </row>
    <row r="76" spans="1:17" ht="21" x14ac:dyDescent="0.35">
      <c r="A76" s="3"/>
      <c r="B76" s="3"/>
      <c r="C76" s="3"/>
      <c r="D76" s="100"/>
      <c r="E76" s="100"/>
      <c r="F76" s="100"/>
      <c r="G76" s="37"/>
      <c r="H76" s="37"/>
      <c r="I76" s="37"/>
      <c r="J76" s="37"/>
      <c r="K76" s="37"/>
      <c r="L76" s="37"/>
      <c r="M76" s="415" t="s">
        <v>269</v>
      </c>
      <c r="N76" s="415"/>
      <c r="O76" s="415"/>
      <c r="P76" s="100"/>
    </row>
    <row r="77" spans="1:17" ht="21" x14ac:dyDescent="0.35">
      <c r="A77" s="9" t="str">
        <f>'Пр №1'!A65</f>
        <v xml:space="preserve"> «</v>
      </c>
      <c r="B77" s="15">
        <f ca="1">'Пр №1'!B65</f>
        <v>9</v>
      </c>
      <c r="C77" s="10" t="str">
        <f>'Пр №1'!C65</f>
        <v>»</v>
      </c>
      <c r="D77" s="366" t="str">
        <f ca="1">'Пр №1'!D65:E65</f>
        <v>Январь</v>
      </c>
      <c r="E77" s="366"/>
      <c r="F77" s="10">
        <f ca="1">'Пр №1'!F65</f>
        <v>2026</v>
      </c>
      <c r="G77" s="10" t="str">
        <f>'Пр №1'!G65</f>
        <v>г.</v>
      </c>
      <c r="H77" s="9"/>
      <c r="I77" s="15"/>
      <c r="J77" s="5" t="str">
        <f>A77</f>
        <v xml:space="preserve"> «</v>
      </c>
      <c r="K77" s="5">
        <f ca="1">B77</f>
        <v>9</v>
      </c>
      <c r="L77" s="1" t="str">
        <f>C77</f>
        <v>»</v>
      </c>
      <c r="M77" s="275" t="str">
        <f ca="1">D77</f>
        <v>Январь</v>
      </c>
      <c r="N77" s="275"/>
      <c r="O77" s="1">
        <f ca="1">F77</f>
        <v>2026</v>
      </c>
      <c r="P77" s="1" t="str">
        <f>G77</f>
        <v>г.</v>
      </c>
    </row>
    <row r="78" spans="1:17" ht="21" x14ac:dyDescent="0.35">
      <c r="A78" s="276" t="s">
        <v>26</v>
      </c>
      <c r="B78" s="276"/>
      <c r="C78" s="276" t="str">
        <f>'Пр №1'!C66:G66</f>
        <v>+996 (552) 727 607</v>
      </c>
      <c r="D78" s="276"/>
      <c r="E78" s="276"/>
      <c r="F78" s="276"/>
      <c r="G78" s="276"/>
      <c r="H78" s="3"/>
      <c r="I78" s="3"/>
      <c r="J78" s="276" t="s">
        <v>26</v>
      </c>
      <c r="K78" s="276"/>
      <c r="L78" s="362" t="str">
        <f>'Пр №1'!L66:P66</f>
        <v>ХХХХ ХХХ ХХХХХ</v>
      </c>
      <c r="M78" s="362"/>
      <c r="N78" s="362"/>
      <c r="O78" s="362"/>
      <c r="P78" s="362"/>
    </row>
  </sheetData>
  <mergeCells count="226">
    <mergeCell ref="B40:E40"/>
    <mergeCell ref="F40:I40"/>
    <mergeCell ref="J40:M40"/>
    <mergeCell ref="N40:O40"/>
    <mergeCell ref="P40:Q40"/>
    <mergeCell ref="P44:Q44"/>
    <mergeCell ref="N42:O42"/>
    <mergeCell ref="P42:Q42"/>
    <mergeCell ref="L43:M43"/>
    <mergeCell ref="L46:M46"/>
    <mergeCell ref="N46:O46"/>
    <mergeCell ref="P45:Q45"/>
    <mergeCell ref="P46:Q46"/>
    <mergeCell ref="P43:Q43"/>
    <mergeCell ref="N43:O43"/>
    <mergeCell ref="N41:O41"/>
    <mergeCell ref="P41:Q41"/>
    <mergeCell ref="B43:K43"/>
    <mergeCell ref="B44:K44"/>
    <mergeCell ref="B46:K46"/>
    <mergeCell ref="N45:O45"/>
    <mergeCell ref="B45:K45"/>
    <mergeCell ref="L45:M45"/>
    <mergeCell ref="A41:I42"/>
    <mergeCell ref="J41:L41"/>
    <mergeCell ref="J42:L42"/>
    <mergeCell ref="L44:M44"/>
    <mergeCell ref="N44:O44"/>
    <mergeCell ref="A34:A35"/>
    <mergeCell ref="B34:E35"/>
    <mergeCell ref="J34:K35"/>
    <mergeCell ref="J38:K39"/>
    <mergeCell ref="N38:O39"/>
    <mergeCell ref="P38:Q39"/>
    <mergeCell ref="L38:L39"/>
    <mergeCell ref="H38:I38"/>
    <mergeCell ref="H39:I39"/>
    <mergeCell ref="L34:L35"/>
    <mergeCell ref="L36:L37"/>
    <mergeCell ref="H34:I34"/>
    <mergeCell ref="H35:I35"/>
    <mergeCell ref="H36:I36"/>
    <mergeCell ref="H37:I37"/>
    <mergeCell ref="J36:K37"/>
    <mergeCell ref="M38:M39"/>
    <mergeCell ref="A36:A37"/>
    <mergeCell ref="B36:E37"/>
    <mergeCell ref="N36:O37"/>
    <mergeCell ref="P36:Q37"/>
    <mergeCell ref="A30:A31"/>
    <mergeCell ref="B30:E31"/>
    <mergeCell ref="J30:K31"/>
    <mergeCell ref="A38:A39"/>
    <mergeCell ref="B38:E39"/>
    <mergeCell ref="N30:O31"/>
    <mergeCell ref="P30:Q31"/>
    <mergeCell ref="A32:A33"/>
    <mergeCell ref="B32:E33"/>
    <mergeCell ref="J32:K33"/>
    <mergeCell ref="N32:O33"/>
    <mergeCell ref="P32:Q33"/>
    <mergeCell ref="L30:L31"/>
    <mergeCell ref="L32:L33"/>
    <mergeCell ref="H30:I30"/>
    <mergeCell ref="H31:I31"/>
    <mergeCell ref="H32:I32"/>
    <mergeCell ref="H33:I33"/>
    <mergeCell ref="M30:M31"/>
    <mergeCell ref="M32:M33"/>
    <mergeCell ref="N34:O35"/>
    <mergeCell ref="M34:M35"/>
    <mergeCell ref="M36:M37"/>
    <mergeCell ref="P34:Q35"/>
    <mergeCell ref="N26:O27"/>
    <mergeCell ref="P26:Q27"/>
    <mergeCell ref="A28:A29"/>
    <mergeCell ref="B28:E29"/>
    <mergeCell ref="J28:K29"/>
    <mergeCell ref="N28:O29"/>
    <mergeCell ref="P28:Q29"/>
    <mergeCell ref="H26:I26"/>
    <mergeCell ref="H27:I27"/>
    <mergeCell ref="H29:I29"/>
    <mergeCell ref="H28:I28"/>
    <mergeCell ref="L26:L27"/>
    <mergeCell ref="L28:L29"/>
    <mergeCell ref="M26:M27"/>
    <mergeCell ref="M28:M29"/>
    <mergeCell ref="A26:A27"/>
    <mergeCell ref="B26:E27"/>
    <mergeCell ref="J26:K27"/>
    <mergeCell ref="N22:O23"/>
    <mergeCell ref="P22:Q23"/>
    <mergeCell ref="A24:A25"/>
    <mergeCell ref="B24:E25"/>
    <mergeCell ref="J24:K25"/>
    <mergeCell ref="N24:O25"/>
    <mergeCell ref="P24:Q25"/>
    <mergeCell ref="H22:I22"/>
    <mergeCell ref="H23:I23"/>
    <mergeCell ref="H24:I24"/>
    <mergeCell ref="H25:I25"/>
    <mergeCell ref="L22:L23"/>
    <mergeCell ref="L24:L25"/>
    <mergeCell ref="M22:M23"/>
    <mergeCell ref="M24:M25"/>
    <mergeCell ref="A22:A23"/>
    <mergeCell ref="B22:E23"/>
    <mergeCell ref="J22:K23"/>
    <mergeCell ref="C13:H13"/>
    <mergeCell ref="H14:Q14"/>
    <mergeCell ref="A14:G14"/>
    <mergeCell ref="A15:B15"/>
    <mergeCell ref="C15:F15"/>
    <mergeCell ref="G15:J15"/>
    <mergeCell ref="K15:P15"/>
    <mergeCell ref="H19:I19"/>
    <mergeCell ref="H20:I20"/>
    <mergeCell ref="A17:I17"/>
    <mergeCell ref="J19:K19"/>
    <mergeCell ref="P19:Q19"/>
    <mergeCell ref="N19:O19"/>
    <mergeCell ref="A18:Q18"/>
    <mergeCell ref="B19:E19"/>
    <mergeCell ref="A20:A21"/>
    <mergeCell ref="B20:E21"/>
    <mergeCell ref="J20:K21"/>
    <mergeCell ref="N20:O21"/>
    <mergeCell ref="P20:Q21"/>
    <mergeCell ref="H21:I21"/>
    <mergeCell ref="L20:L21"/>
    <mergeCell ref="M20:M21"/>
    <mergeCell ref="M76:O76"/>
    <mergeCell ref="A75:F75"/>
    <mergeCell ref="B72:C72"/>
    <mergeCell ref="A3:Q3"/>
    <mergeCell ref="A4:Q4"/>
    <mergeCell ref="A5:I5"/>
    <mergeCell ref="B6:E6"/>
    <mergeCell ref="L6:M6"/>
    <mergeCell ref="A13:B13"/>
    <mergeCell ref="N13:Q13"/>
    <mergeCell ref="A8:Q8"/>
    <mergeCell ref="A9:Q9"/>
    <mergeCell ref="A11:H11"/>
    <mergeCell ref="I11:Q11"/>
    <mergeCell ref="A12:D12"/>
    <mergeCell ref="G12:H12"/>
    <mergeCell ref="N12:Q12"/>
    <mergeCell ref="A10:B10"/>
    <mergeCell ref="C10:F10"/>
    <mergeCell ref="A16:Q16"/>
    <mergeCell ref="H10:Q10"/>
    <mergeCell ref="A7:F7"/>
    <mergeCell ref="G7:Q7"/>
    <mergeCell ref="I13:M13"/>
    <mergeCell ref="A64:B64"/>
    <mergeCell ref="C64:G64"/>
    <mergeCell ref="J64:K64"/>
    <mergeCell ref="L64:Q64"/>
    <mergeCell ref="B61:G61"/>
    <mergeCell ref="J61:K61"/>
    <mergeCell ref="L61:P61"/>
    <mergeCell ref="A62:B62"/>
    <mergeCell ref="A78:B78"/>
    <mergeCell ref="C78:G78"/>
    <mergeCell ref="J78:K78"/>
    <mergeCell ref="L78:P78"/>
    <mergeCell ref="B70:G70"/>
    <mergeCell ref="K70:P70"/>
    <mergeCell ref="A71:G71"/>
    <mergeCell ref="J71:P71"/>
    <mergeCell ref="J73:L73"/>
    <mergeCell ref="M73:P73"/>
    <mergeCell ref="D77:E77"/>
    <mergeCell ref="M77:N77"/>
    <mergeCell ref="A73:C73"/>
    <mergeCell ref="D73:F73"/>
    <mergeCell ref="M74:P74"/>
    <mergeCell ref="D74:F74"/>
    <mergeCell ref="B69:G69"/>
    <mergeCell ref="K69:P69"/>
    <mergeCell ref="A65:G65"/>
    <mergeCell ref="J65:Q65"/>
    <mergeCell ref="A66:C66"/>
    <mergeCell ref="D66:G66"/>
    <mergeCell ref="J66:L66"/>
    <mergeCell ref="M66:N66"/>
    <mergeCell ref="A67:G67"/>
    <mergeCell ref="J67:P67"/>
    <mergeCell ref="A68:G68"/>
    <mergeCell ref="J68:P68"/>
    <mergeCell ref="E62:G62"/>
    <mergeCell ref="J62:K62"/>
    <mergeCell ref="N62:O62"/>
    <mergeCell ref="A63:B63"/>
    <mergeCell ref="C63:G63"/>
    <mergeCell ref="J63:K63"/>
    <mergeCell ref="L60:Q60"/>
    <mergeCell ref="A50:Q50"/>
    <mergeCell ref="A51:L51"/>
    <mergeCell ref="A58:Q58"/>
    <mergeCell ref="P51:Q51"/>
    <mergeCell ref="M51:O51"/>
    <mergeCell ref="A57:Q57"/>
    <mergeCell ref="A59:G59"/>
    <mergeCell ref="J59:P59"/>
    <mergeCell ref="B60:G60"/>
    <mergeCell ref="J60:K60"/>
    <mergeCell ref="O63:P63"/>
    <mergeCell ref="P49:Q49"/>
    <mergeCell ref="P47:Q47"/>
    <mergeCell ref="J52:L52"/>
    <mergeCell ref="M52:Q52"/>
    <mergeCell ref="A53:Q53"/>
    <mergeCell ref="A54:Q54"/>
    <mergeCell ref="A55:Q55"/>
    <mergeCell ref="A56:Q56"/>
    <mergeCell ref="B47:K47"/>
    <mergeCell ref="B48:K48"/>
    <mergeCell ref="L48:M48"/>
    <mergeCell ref="N48:O48"/>
    <mergeCell ref="P48:Q48"/>
    <mergeCell ref="B49:O49"/>
    <mergeCell ref="N47:O47"/>
    <mergeCell ref="L47:M47"/>
  </mergeCells>
  <pageMargins left="0.33" right="0.28999999999999998" top="0.33" bottom="0.33" header="0.3" footer="0.3"/>
  <pageSetup paperSize="9" scale="4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T51"/>
  <sheetViews>
    <sheetView zoomScaleNormal="100" workbookViewId="0">
      <selection activeCell="N13" sqref="N13"/>
    </sheetView>
  </sheetViews>
  <sheetFormatPr defaultRowHeight="15.75" x14ac:dyDescent="0.25"/>
  <cols>
    <col min="1" max="1" width="4.85546875" style="96" customWidth="1"/>
    <col min="2" max="3" width="9.140625" style="96"/>
    <col min="4" max="4" width="9.5703125" style="96" bestFit="1" customWidth="1"/>
    <col min="5" max="5" width="9.5703125" style="96" customWidth="1"/>
    <col min="6" max="6" width="10" style="96" customWidth="1"/>
    <col min="7" max="7" width="5.7109375" style="96" customWidth="1"/>
    <col min="8" max="8" width="5.85546875" style="96" customWidth="1"/>
    <col min="9" max="9" width="11.28515625" style="96" bestFit="1" customWidth="1"/>
    <col min="10" max="10" width="12.42578125" style="96" customWidth="1"/>
    <col min="11" max="11" width="7.85546875" style="96" customWidth="1"/>
    <col min="12" max="12" width="22.140625" style="96" customWidth="1"/>
    <col min="13" max="13" width="8.85546875" style="65" customWidth="1"/>
    <col min="14" max="16" width="9.140625" style="65"/>
    <col min="17" max="18" width="9.28515625" style="65" bestFit="1" customWidth="1"/>
    <col min="19" max="19" width="9.5703125" style="65" bestFit="1" customWidth="1"/>
    <col min="20" max="20" width="13.42578125" style="65" customWidth="1"/>
  </cols>
  <sheetData>
    <row r="2" spans="1:12" x14ac:dyDescent="0.25">
      <c r="A2" s="529" t="str">
        <f>Дог.!B13</f>
        <v xml:space="preserve">г. Бишкек </v>
      </c>
      <c r="B2" s="529"/>
      <c r="C2" s="529"/>
      <c r="D2" s="66"/>
      <c r="E2" s="66"/>
      <c r="F2" s="107" t="str">
        <f>Дог.!I13</f>
        <v xml:space="preserve"> «</v>
      </c>
      <c r="G2" s="66">
        <f ca="1">Дог.!J13</f>
        <v>9</v>
      </c>
      <c r="H2" s="65" t="str">
        <f>Дог.!K13</f>
        <v>»</v>
      </c>
      <c r="I2" s="529" t="str">
        <f ca="1">Дог.!L13</f>
        <v>Январь</v>
      </c>
      <c r="J2" s="529"/>
      <c r="K2" s="66">
        <f ca="1">Дог.!N13</f>
        <v>2026</v>
      </c>
      <c r="L2" s="80" t="str">
        <f>Дог.!O13</f>
        <v>г.</v>
      </c>
    </row>
    <row r="3" spans="1:12" x14ac:dyDescent="0.25">
      <c r="A3" s="66"/>
      <c r="B3" s="66"/>
      <c r="C3" s="66"/>
      <c r="D3" s="66"/>
      <c r="E3" s="66"/>
      <c r="F3" s="107"/>
      <c r="G3" s="66"/>
      <c r="H3" s="65"/>
      <c r="I3" s="66"/>
      <c r="J3" s="66"/>
      <c r="K3" s="66"/>
      <c r="L3" s="80"/>
    </row>
    <row r="4" spans="1:12" x14ac:dyDescent="0.25">
      <c r="A4" s="66"/>
      <c r="B4" s="66"/>
      <c r="C4" s="66"/>
      <c r="D4" s="66"/>
      <c r="E4" s="66"/>
      <c r="F4" s="107"/>
      <c r="G4" s="66"/>
      <c r="H4" s="65"/>
      <c r="I4" s="66"/>
      <c r="J4" s="66"/>
      <c r="K4" s="66"/>
      <c r="L4" s="80"/>
    </row>
    <row r="5" spans="1:12" x14ac:dyDescent="0.25">
      <c r="C5" s="108"/>
      <c r="D5" s="97"/>
      <c r="E5" s="97"/>
      <c r="F5" s="108"/>
      <c r="G5" s="97"/>
      <c r="H5" s="72"/>
      <c r="I5" s="97"/>
      <c r="J5" s="97"/>
      <c r="K5" s="97"/>
    </row>
    <row r="6" spans="1:12" ht="25.5" x14ac:dyDescent="0.25">
      <c r="A6" s="530" t="s">
        <v>289</v>
      </c>
      <c r="B6" s="530"/>
      <c r="C6" s="530"/>
      <c r="D6" s="530"/>
      <c r="E6" s="530"/>
      <c r="F6" s="530"/>
      <c r="G6" s="530"/>
      <c r="H6" s="530"/>
      <c r="I6" s="530"/>
      <c r="J6" s="530"/>
      <c r="K6" s="530"/>
      <c r="L6" s="530"/>
    </row>
    <row r="7" spans="1:12" x14ac:dyDescent="0.25">
      <c r="A7" s="531"/>
      <c r="B7" s="531"/>
      <c r="C7" s="531"/>
      <c r="D7" s="531"/>
      <c r="E7" s="531"/>
      <c r="F7" s="531"/>
      <c r="G7" s="531"/>
      <c r="H7" s="531"/>
      <c r="I7" s="531"/>
      <c r="J7" s="531"/>
      <c r="K7" s="531"/>
      <c r="L7" s="531"/>
    </row>
    <row r="8" spans="1:12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</row>
    <row r="9" spans="1:12" ht="18.75" x14ac:dyDescent="0.25">
      <c r="A9" s="109"/>
      <c r="B9" s="110" t="s">
        <v>193</v>
      </c>
      <c r="C9" s="514" t="str">
        <f>Дог.!A18</f>
        <v>ХХХХ ХХХХ ХХХХ</v>
      </c>
      <c r="D9" s="514"/>
      <c r="E9" s="514"/>
      <c r="F9" s="514"/>
      <c r="G9" s="514"/>
      <c r="H9" s="514"/>
      <c r="I9" s="514"/>
      <c r="J9" s="512" t="s">
        <v>290</v>
      </c>
      <c r="K9" s="512"/>
      <c r="L9" s="512"/>
    </row>
    <row r="10" spans="1:12" ht="18.75" x14ac:dyDescent="0.25">
      <c r="A10" s="512" t="s">
        <v>291</v>
      </c>
      <c r="B10" s="512"/>
      <c r="C10" s="512" t="str">
        <f>Дог.!C20</f>
        <v>Чуйская область г. Бишкек</v>
      </c>
      <c r="D10" s="512"/>
      <c r="E10" s="512"/>
      <c r="F10" s="512"/>
      <c r="G10" s="512"/>
      <c r="H10" s="512"/>
      <c r="I10" s="512"/>
      <c r="J10" s="512"/>
      <c r="K10" s="512"/>
      <c r="L10" s="512"/>
    </row>
    <row r="11" spans="1:12" ht="18.75" x14ac:dyDescent="0.25">
      <c r="A11" s="512" t="str">
        <f>Дог.!J20</f>
        <v>ул. ХХХХХ</v>
      </c>
      <c r="B11" s="512"/>
      <c r="C11" s="512"/>
      <c r="D11" s="512"/>
      <c r="E11" s="512"/>
      <c r="F11" s="512"/>
      <c r="G11" s="516" t="s">
        <v>292</v>
      </c>
      <c r="H11" s="516"/>
      <c r="I11" s="516"/>
      <c r="J11" s="516"/>
      <c r="K11" s="516"/>
      <c r="L11" s="516"/>
    </row>
    <row r="12" spans="1:12" ht="18.75" x14ac:dyDescent="0.25">
      <c r="A12" s="512" t="s">
        <v>291</v>
      </c>
      <c r="B12" s="512"/>
      <c r="C12" s="512" t="str">
        <f>Дог.!A21</f>
        <v>Чуйская область г. Бишкек</v>
      </c>
      <c r="D12" s="512"/>
      <c r="E12" s="512"/>
      <c r="F12" s="512"/>
      <c r="G12" s="512"/>
      <c r="H12" s="512"/>
      <c r="I12" s="512"/>
      <c r="J12" s="512"/>
      <c r="K12" s="512"/>
      <c r="L12" s="512"/>
    </row>
    <row r="13" spans="1:12" ht="18.75" x14ac:dyDescent="0.25">
      <c r="A13" s="512" t="str">
        <f>Дог.!I21</f>
        <v>ул. ХХХХХ</v>
      </c>
      <c r="B13" s="512"/>
      <c r="C13" s="512"/>
      <c r="D13" s="512"/>
      <c r="E13" s="512"/>
      <c r="F13" s="512"/>
      <c r="G13" s="516"/>
      <c r="H13" s="516"/>
      <c r="I13" s="110"/>
      <c r="J13" s="110"/>
      <c r="K13" s="512"/>
      <c r="L13" s="512"/>
    </row>
    <row r="14" spans="1:12" ht="18.75" x14ac:dyDescent="0.25">
      <c r="A14" s="512" t="s">
        <v>29</v>
      </c>
      <c r="B14" s="512"/>
      <c r="C14" s="120" t="str">
        <f>Дог.!E19</f>
        <v>ХХХ</v>
      </c>
      <c r="D14" s="110" t="s">
        <v>12</v>
      </c>
      <c r="E14" s="525" t="str">
        <f>Дог.!G19</f>
        <v>ХХХХХ</v>
      </c>
      <c r="F14" s="525"/>
      <c r="G14" s="516"/>
      <c r="H14" s="516"/>
      <c r="I14" s="110"/>
      <c r="J14" s="110"/>
      <c r="K14" s="109"/>
      <c r="L14" s="109"/>
    </row>
    <row r="15" spans="1:12" ht="18.75" x14ac:dyDescent="0.25">
      <c r="A15" s="512" t="s">
        <v>30</v>
      </c>
      <c r="B15" s="512"/>
      <c r="C15" s="120" t="str">
        <f>Дог.!J19</f>
        <v>МКК</v>
      </c>
      <c r="D15" s="120" t="str">
        <f>Дог.!K19</f>
        <v>ХХХХ</v>
      </c>
      <c r="E15" s="110" t="s">
        <v>256</v>
      </c>
      <c r="F15" s="521" t="str">
        <f>Дог.!M19</f>
        <v>ХХХХ</v>
      </c>
      <c r="G15" s="521"/>
      <c r="H15" s="521"/>
      <c r="I15" s="111"/>
      <c r="J15" s="522"/>
      <c r="K15" s="522"/>
      <c r="L15" s="522"/>
    </row>
    <row r="16" spans="1:12" ht="18.75" x14ac:dyDescent="0.25">
      <c r="A16" s="512" t="s">
        <v>258</v>
      </c>
      <c r="B16" s="512"/>
      <c r="C16" s="526" t="str">
        <f>Дог.!C22</f>
        <v>ХХХХ</v>
      </c>
      <c r="D16" s="525"/>
      <c r="E16" s="525"/>
      <c r="F16" s="525"/>
      <c r="G16" s="117"/>
      <c r="H16" s="117"/>
      <c r="I16" s="111"/>
      <c r="J16" s="118"/>
      <c r="K16" s="118"/>
      <c r="L16" s="118"/>
    </row>
    <row r="17" spans="1:12" ht="18.75" x14ac:dyDescent="0.25">
      <c r="A17" s="512" t="s">
        <v>322</v>
      </c>
      <c r="B17" s="512"/>
      <c r="C17" s="512"/>
      <c r="D17" s="527" t="str">
        <f>Дог.!A23</f>
        <v>ХХХХХ</v>
      </c>
      <c r="E17" s="528"/>
      <c r="F17" s="109"/>
      <c r="G17" s="117"/>
      <c r="H17" s="117"/>
      <c r="I17" s="111"/>
      <c r="J17" s="118"/>
      <c r="K17" s="118"/>
      <c r="L17" s="118"/>
    </row>
    <row r="18" spans="1:12" ht="18.75" x14ac:dyDescent="0.25">
      <c r="A18" s="512" t="s">
        <v>130</v>
      </c>
      <c r="B18" s="512"/>
      <c r="C18" s="523" t="str">
        <f>Дог.!D7</f>
        <v>ХХХХ ХХХ ХХХХХ</v>
      </c>
      <c r="D18" s="523"/>
      <c r="E18" s="523"/>
      <c r="F18" s="523"/>
      <c r="G18" s="523"/>
      <c r="H18" s="523"/>
      <c r="I18" s="523"/>
      <c r="J18" s="524"/>
      <c r="K18" s="524"/>
      <c r="L18" s="112"/>
    </row>
    <row r="19" spans="1:12" ht="18.75" x14ac:dyDescent="0.25">
      <c r="A19" s="512" t="s">
        <v>545</v>
      </c>
      <c r="B19" s="512"/>
      <c r="C19" s="512"/>
      <c r="D19" s="512"/>
      <c r="E19" s="512"/>
      <c r="F19" s="514" t="str">
        <f>Дог.!A14</f>
        <v xml:space="preserve"> Зинченко Михаил Александрович</v>
      </c>
      <c r="G19" s="514"/>
      <c r="H19" s="514"/>
      <c r="I19" s="514"/>
      <c r="J19" s="514"/>
      <c r="K19" s="514"/>
      <c r="L19" s="112"/>
    </row>
    <row r="20" spans="1:12" ht="18.75" x14ac:dyDescent="0.25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</row>
    <row r="21" spans="1:12" ht="18.75" x14ac:dyDescent="0.25">
      <c r="A21" s="113" t="s">
        <v>293</v>
      </c>
      <c r="B21" s="520" t="s">
        <v>294</v>
      </c>
      <c r="C21" s="520"/>
      <c r="D21" s="520"/>
      <c r="E21" s="520"/>
      <c r="F21" s="520"/>
      <c r="G21" s="520"/>
      <c r="H21" s="520"/>
      <c r="I21" s="520"/>
      <c r="J21" s="520">
        <f ca="1">'Акт расч'!P49</f>
        <v>-3000</v>
      </c>
      <c r="K21" s="520"/>
      <c r="L21" s="520"/>
    </row>
    <row r="22" spans="1:12" ht="18.75" x14ac:dyDescent="0.25">
      <c r="A22" s="517" t="e">
        <f ca="1">[1]!ЧислоПрописьюВалюта(J21,2)</f>
        <v>#NAME?</v>
      </c>
      <c r="B22" s="517"/>
      <c r="C22" s="517"/>
      <c r="D22" s="517"/>
      <c r="E22" s="517"/>
      <c r="F22" s="517"/>
      <c r="G22" s="517"/>
      <c r="H22" s="517"/>
      <c r="I22" s="517"/>
      <c r="J22" s="112" t="s">
        <v>295</v>
      </c>
      <c r="K22" s="518">
        <f ca="1">'Пр №1'!J21+1</f>
        <v>46032</v>
      </c>
      <c r="L22" s="519"/>
    </row>
    <row r="23" spans="1:12" ht="18.75" x14ac:dyDescent="0.25">
      <c r="A23" s="512" t="s">
        <v>296</v>
      </c>
      <c r="B23" s="512"/>
      <c r="C23" s="512"/>
      <c r="D23" s="512"/>
      <c r="E23" s="512"/>
      <c r="F23" s="512"/>
      <c r="G23" s="512"/>
      <c r="H23" s="512"/>
      <c r="I23" s="512"/>
      <c r="J23" s="520">
        <f ca="1">J21/C24</f>
        <v>-600</v>
      </c>
      <c r="K23" s="520"/>
      <c r="L23" s="520"/>
    </row>
    <row r="24" spans="1:12" ht="18.75" x14ac:dyDescent="0.25">
      <c r="A24" s="512" t="s">
        <v>297</v>
      </c>
      <c r="B24" s="512"/>
      <c r="C24" s="110">
        <v>5</v>
      </c>
      <c r="D24" s="516" t="s">
        <v>541</v>
      </c>
      <c r="E24" s="516"/>
      <c r="F24" s="516" t="s">
        <v>298</v>
      </c>
      <c r="G24" s="516"/>
      <c r="H24" s="110">
        <v>5</v>
      </c>
      <c r="I24" s="512" t="s">
        <v>299</v>
      </c>
      <c r="J24" s="512"/>
      <c r="K24" s="512"/>
      <c r="L24" s="512"/>
    </row>
    <row r="25" spans="1:12" ht="18.75" x14ac:dyDescent="0.25">
      <c r="A25" s="513" t="s">
        <v>546</v>
      </c>
      <c r="B25" s="513"/>
      <c r="C25" s="513"/>
      <c r="D25" s="513"/>
      <c r="E25" s="513"/>
      <c r="F25" s="513"/>
      <c r="G25" s="514" t="str">
        <f>Дог.!A14</f>
        <v xml:space="preserve"> Зинченко Михаил Александрович</v>
      </c>
      <c r="H25" s="514"/>
      <c r="I25" s="514"/>
      <c r="J25" s="514"/>
      <c r="K25" s="514"/>
      <c r="L25" s="514"/>
    </row>
    <row r="26" spans="1:12" ht="18.75" x14ac:dyDescent="0.25">
      <c r="A26" s="512" t="s">
        <v>300</v>
      </c>
      <c r="B26" s="512"/>
      <c r="C26" s="512"/>
      <c r="D26" s="512"/>
      <c r="E26" s="512"/>
      <c r="F26" s="512"/>
      <c r="G26" s="512"/>
      <c r="H26" s="515" t="str">
        <f>Дог.!M7</f>
        <v>+996 (552) 727 607</v>
      </c>
      <c r="I26" s="516"/>
      <c r="J26" s="516"/>
      <c r="K26" s="516" t="s">
        <v>301</v>
      </c>
      <c r="L26" s="516"/>
    </row>
    <row r="27" spans="1:12" ht="18.75" x14ac:dyDescent="0.25">
      <c r="A27" s="512" t="s">
        <v>302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</row>
    <row r="28" spans="1:12" ht="18.75" x14ac:dyDescent="0.25">
      <c r="A28" s="113" t="s">
        <v>303</v>
      </c>
      <c r="B28" s="512" t="s">
        <v>506</v>
      </c>
      <c r="C28" s="512"/>
      <c r="D28" s="512"/>
      <c r="E28" s="512"/>
      <c r="F28" s="512"/>
      <c r="G28" s="512"/>
      <c r="H28" s="512"/>
      <c r="I28" s="512"/>
      <c r="J28" s="512"/>
      <c r="K28" s="512"/>
      <c r="L28" s="512"/>
    </row>
    <row r="29" spans="1:12" ht="18.75" x14ac:dyDescent="0.25">
      <c r="A29" s="512" t="s">
        <v>505</v>
      </c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</row>
    <row r="30" spans="1:12" ht="18.75" x14ac:dyDescent="0.25">
      <c r="A30" s="512" t="s">
        <v>304</v>
      </c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</row>
    <row r="31" spans="1:12" ht="18.75" x14ac:dyDescent="0.25">
      <c r="A31" s="512" t="s">
        <v>305</v>
      </c>
      <c r="B31" s="512"/>
      <c r="C31" s="512"/>
      <c r="D31" s="512"/>
      <c r="E31" s="512"/>
      <c r="F31" s="512"/>
      <c r="G31" s="512"/>
      <c r="H31" s="512"/>
      <c r="I31" s="512"/>
      <c r="J31" s="512"/>
      <c r="K31" s="512"/>
      <c r="L31" s="512"/>
    </row>
    <row r="32" spans="1:12" ht="18.75" x14ac:dyDescent="0.25">
      <c r="A32" s="113" t="s">
        <v>306</v>
      </c>
      <c r="B32" s="512" t="s">
        <v>307</v>
      </c>
      <c r="C32" s="512"/>
      <c r="D32" s="512"/>
      <c r="E32" s="512"/>
      <c r="F32" s="512"/>
      <c r="G32" s="512"/>
      <c r="H32" s="512"/>
      <c r="I32" s="512"/>
      <c r="J32" s="512"/>
      <c r="K32" s="512"/>
      <c r="L32" s="512"/>
    </row>
    <row r="33" spans="1:12" ht="18.75" x14ac:dyDescent="0.25">
      <c r="A33" s="512" t="s">
        <v>308</v>
      </c>
      <c r="B33" s="512"/>
      <c r="C33" s="512"/>
      <c r="D33" s="512"/>
      <c r="E33" s="512"/>
      <c r="F33" s="512"/>
      <c r="G33" s="512"/>
      <c r="H33" s="512"/>
      <c r="I33" s="512"/>
      <c r="J33" s="512"/>
      <c r="K33" s="512"/>
      <c r="L33" s="512"/>
    </row>
    <row r="34" spans="1:12" ht="18.75" x14ac:dyDescent="0.25">
      <c r="A34" s="512" t="s">
        <v>309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</row>
    <row r="35" spans="1:12" ht="18.75" x14ac:dyDescent="0.25">
      <c r="A35" s="512" t="s">
        <v>310</v>
      </c>
      <c r="B35" s="512"/>
      <c r="C35" s="512"/>
      <c r="D35" s="512"/>
      <c r="E35" s="512"/>
      <c r="F35" s="512"/>
      <c r="G35" s="512"/>
      <c r="H35" s="512"/>
      <c r="I35" s="512"/>
      <c r="J35" s="512"/>
      <c r="K35" s="512"/>
      <c r="L35" s="512"/>
    </row>
    <row r="36" spans="1:12" ht="18.75" x14ac:dyDescent="0.25">
      <c r="A36" s="113" t="s">
        <v>311</v>
      </c>
      <c r="B36" s="512" t="s">
        <v>312</v>
      </c>
      <c r="C36" s="512"/>
      <c r="D36" s="512"/>
      <c r="E36" s="512"/>
      <c r="F36" s="512"/>
      <c r="G36" s="512"/>
      <c r="H36" s="512"/>
      <c r="I36" s="512"/>
      <c r="J36" s="512"/>
      <c r="K36" s="512"/>
      <c r="L36" s="512"/>
    </row>
    <row r="37" spans="1:12" ht="18.75" x14ac:dyDescent="0.25">
      <c r="A37" s="512" t="s">
        <v>313</v>
      </c>
      <c r="B37" s="512"/>
      <c r="C37" s="512"/>
      <c r="D37" s="512"/>
      <c r="E37" s="512"/>
      <c r="F37" s="512"/>
      <c r="G37" s="512"/>
      <c r="H37" s="512"/>
      <c r="I37" s="512"/>
      <c r="J37" s="512"/>
      <c r="K37" s="512"/>
      <c r="L37" s="512"/>
    </row>
    <row r="38" spans="1:12" ht="18.75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ht="18.75" x14ac:dyDescent="0.25">
      <c r="A39" s="511"/>
      <c r="B39" s="511"/>
      <c r="C39" s="511"/>
      <c r="D39" s="511"/>
      <c r="E39" s="511"/>
      <c r="F39" s="110"/>
      <c r="G39" s="110"/>
      <c r="H39" s="110"/>
      <c r="I39" s="110"/>
      <c r="J39" s="510"/>
      <c r="K39" s="510"/>
      <c r="L39" s="510"/>
    </row>
    <row r="40" spans="1:12" ht="18.75" x14ac:dyDescent="0.25">
      <c r="A40" s="509" t="s">
        <v>314</v>
      </c>
      <c r="B40" s="509"/>
      <c r="C40" s="509"/>
      <c r="D40" s="509"/>
      <c r="E40" s="509"/>
      <c r="F40" s="110"/>
      <c r="G40" s="110"/>
      <c r="H40" s="110"/>
      <c r="I40" s="110"/>
      <c r="J40" s="509" t="s">
        <v>315</v>
      </c>
      <c r="K40" s="509"/>
      <c r="L40" s="509"/>
    </row>
    <row r="41" spans="1:12" ht="18.75" x14ac:dyDescent="0.25">
      <c r="A41" s="114"/>
      <c r="B41" s="114"/>
      <c r="C41" s="114"/>
      <c r="D41" s="114"/>
      <c r="E41" s="114"/>
      <c r="F41" s="110"/>
      <c r="G41" s="110"/>
      <c r="H41" s="110"/>
      <c r="I41" s="110"/>
      <c r="J41" s="110"/>
      <c r="K41" s="110"/>
      <c r="L41" s="110"/>
    </row>
    <row r="42" spans="1:12" ht="18.75" x14ac:dyDescent="0.25">
      <c r="A42" s="510"/>
      <c r="B42" s="510"/>
      <c r="C42" s="510"/>
      <c r="D42" s="510"/>
      <c r="E42" s="510"/>
      <c r="F42" s="110"/>
      <c r="G42" s="110"/>
      <c r="H42" s="110"/>
      <c r="I42" s="110"/>
      <c r="J42" s="510"/>
      <c r="K42" s="510"/>
      <c r="L42" s="510"/>
    </row>
    <row r="43" spans="1:12" ht="18.75" x14ac:dyDescent="0.25">
      <c r="A43" s="509" t="s">
        <v>316</v>
      </c>
      <c r="B43" s="509"/>
      <c r="C43" s="509"/>
      <c r="D43" s="509"/>
      <c r="E43" s="509"/>
      <c r="F43" s="110"/>
      <c r="G43" s="110"/>
      <c r="H43" s="110"/>
      <c r="I43" s="110"/>
      <c r="J43" s="509" t="s">
        <v>317</v>
      </c>
      <c r="K43" s="509"/>
      <c r="L43" s="509"/>
    </row>
    <row r="44" spans="1:12" ht="18.75" x14ac:dyDescent="0.25">
      <c r="A44" s="114"/>
      <c r="B44" s="114"/>
      <c r="C44" s="114"/>
      <c r="D44" s="114"/>
      <c r="E44" s="114"/>
      <c r="F44" s="110"/>
      <c r="G44" s="110"/>
      <c r="H44" s="110"/>
      <c r="I44" s="110"/>
      <c r="J44" s="110"/>
      <c r="K44" s="110"/>
      <c r="L44" s="110"/>
    </row>
    <row r="45" spans="1:12" ht="18.75" x14ac:dyDescent="0.25">
      <c r="A45" s="510"/>
      <c r="B45" s="510"/>
      <c r="C45" s="510"/>
      <c r="D45" s="510"/>
      <c r="E45" s="510"/>
      <c r="F45" s="110"/>
      <c r="G45" s="110"/>
      <c r="H45" s="110"/>
      <c r="I45" s="110"/>
      <c r="J45" s="510"/>
      <c r="K45" s="510"/>
      <c r="L45" s="510"/>
    </row>
    <row r="46" spans="1:12" ht="18.75" x14ac:dyDescent="0.25">
      <c r="A46" s="509" t="s">
        <v>316</v>
      </c>
      <c r="B46" s="509"/>
      <c r="C46" s="509"/>
      <c r="D46" s="509"/>
      <c r="E46" s="509"/>
      <c r="F46" s="110"/>
      <c r="G46" s="110"/>
      <c r="H46" s="110"/>
      <c r="I46" s="110"/>
      <c r="J46" s="509" t="s">
        <v>317</v>
      </c>
      <c r="K46" s="509"/>
      <c r="L46" s="509"/>
    </row>
    <row r="47" spans="1:12" ht="18.75" x14ac:dyDescent="0.25">
      <c r="A47" s="114"/>
      <c r="B47" s="114"/>
      <c r="C47" s="114"/>
      <c r="D47" s="114"/>
      <c r="E47" s="114"/>
      <c r="F47" s="110"/>
      <c r="G47" s="110"/>
      <c r="H47" s="110"/>
      <c r="I47" s="110"/>
      <c r="J47" s="110"/>
      <c r="K47" s="110"/>
      <c r="L47" s="110"/>
    </row>
    <row r="48" spans="1:12" x14ac:dyDescent="0.25">
      <c r="A48" s="511" t="str">
        <f>F19</f>
        <v xml:space="preserve"> Зинченко Михаил Александрович</v>
      </c>
      <c r="B48" s="511"/>
      <c r="C48" s="511"/>
      <c r="D48" s="511"/>
      <c r="E48" s="511"/>
      <c r="F48" s="97"/>
      <c r="G48" s="97"/>
      <c r="H48" s="97"/>
      <c r="I48" s="97"/>
      <c r="J48" s="511"/>
      <c r="K48" s="511"/>
      <c r="L48" s="511"/>
    </row>
    <row r="49" spans="1:12" x14ac:dyDescent="0.25">
      <c r="A49" s="509" t="s">
        <v>318</v>
      </c>
      <c r="B49" s="509"/>
      <c r="C49" s="509"/>
      <c r="D49" s="509"/>
      <c r="E49" s="509"/>
      <c r="F49" s="97"/>
      <c r="G49" s="97"/>
      <c r="H49" s="97"/>
      <c r="I49" s="97"/>
      <c r="J49" s="509" t="s">
        <v>319</v>
      </c>
      <c r="K49" s="509"/>
      <c r="L49" s="509"/>
    </row>
    <row r="50" spans="1:12" x14ac:dyDescent="0.25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</row>
    <row r="51" spans="1:12" x14ac:dyDescent="0.25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</row>
  </sheetData>
  <mergeCells count="72">
    <mergeCell ref="A16:B16"/>
    <mergeCell ref="C16:F16"/>
    <mergeCell ref="A17:C17"/>
    <mergeCell ref="D17:E17"/>
    <mergeCell ref="A2:C2"/>
    <mergeCell ref="A10:B10"/>
    <mergeCell ref="C10:L10"/>
    <mergeCell ref="A11:F11"/>
    <mergeCell ref="G11:L11"/>
    <mergeCell ref="A12:B12"/>
    <mergeCell ref="C12:L12"/>
    <mergeCell ref="I2:J2"/>
    <mergeCell ref="A6:L6"/>
    <mergeCell ref="A7:L7"/>
    <mergeCell ref="C9:I9"/>
    <mergeCell ref="J9:L9"/>
    <mergeCell ref="B21:I21"/>
    <mergeCell ref="J21:L21"/>
    <mergeCell ref="A13:F13"/>
    <mergeCell ref="G13:H13"/>
    <mergeCell ref="K13:L13"/>
    <mergeCell ref="A15:B15"/>
    <mergeCell ref="F15:H15"/>
    <mergeCell ref="J15:L15"/>
    <mergeCell ref="A18:B18"/>
    <mergeCell ref="C18:I18"/>
    <mergeCell ref="J18:K18"/>
    <mergeCell ref="A19:E19"/>
    <mergeCell ref="F19:K19"/>
    <mergeCell ref="A14:B14"/>
    <mergeCell ref="E14:F14"/>
    <mergeCell ref="G14:H14"/>
    <mergeCell ref="A22:I22"/>
    <mergeCell ref="K22:L22"/>
    <mergeCell ref="A23:I23"/>
    <mergeCell ref="J23:L23"/>
    <mergeCell ref="A24:B24"/>
    <mergeCell ref="D24:E24"/>
    <mergeCell ref="F24:G24"/>
    <mergeCell ref="I24:L24"/>
    <mergeCell ref="A33:L33"/>
    <mergeCell ref="A25:F25"/>
    <mergeCell ref="G25:L25"/>
    <mergeCell ref="A26:G26"/>
    <mergeCell ref="H26:J26"/>
    <mergeCell ref="K26:L26"/>
    <mergeCell ref="A27:L27"/>
    <mergeCell ref="B28:L28"/>
    <mergeCell ref="A29:L29"/>
    <mergeCell ref="A30:L30"/>
    <mergeCell ref="A31:L31"/>
    <mergeCell ref="B32:L32"/>
    <mergeCell ref="A34:L34"/>
    <mergeCell ref="A35:L35"/>
    <mergeCell ref="B36:L36"/>
    <mergeCell ref="A37:L37"/>
    <mergeCell ref="A39:E39"/>
    <mergeCell ref="J39:L39"/>
    <mergeCell ref="A40:E40"/>
    <mergeCell ref="J40:L40"/>
    <mergeCell ref="A42:E42"/>
    <mergeCell ref="J42:L42"/>
    <mergeCell ref="A43:E43"/>
    <mergeCell ref="J43:L43"/>
    <mergeCell ref="A49:E49"/>
    <mergeCell ref="J49:L49"/>
    <mergeCell ref="A45:E45"/>
    <mergeCell ref="J45:L45"/>
    <mergeCell ref="A46:E46"/>
    <mergeCell ref="J46:L46"/>
    <mergeCell ref="A48:E48"/>
    <mergeCell ref="J48:L48"/>
  </mergeCells>
  <pageMargins left="1.1023622047244095" right="0.70866141732283472" top="0.74803149606299213" bottom="0.74803149606299213" header="0.31496062992125984" footer="0.31496062992125984"/>
  <pageSetup paperSize="9" scale="6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>
    <pageSetUpPr fitToPage="1"/>
  </sheetPr>
  <dimension ref="A1:N64"/>
  <sheetViews>
    <sheetView zoomScale="80" zoomScaleNormal="80" workbookViewId="0">
      <selection activeCell="B8" sqref="B8"/>
    </sheetView>
  </sheetViews>
  <sheetFormatPr defaultColWidth="9.140625" defaultRowHeight="15" x14ac:dyDescent="0.25"/>
  <cols>
    <col min="1" max="1" width="8.42578125" customWidth="1"/>
    <col min="2" max="2" width="31.7109375" customWidth="1"/>
    <col min="3" max="3" width="8" customWidth="1"/>
    <col min="4" max="4" width="25" style="51" customWidth="1"/>
    <col min="5" max="5" width="20.28515625" customWidth="1"/>
    <col min="6" max="6" width="14.42578125" customWidth="1"/>
    <col min="7" max="7" width="21.7109375" customWidth="1"/>
    <col min="8" max="8" width="21.42578125" customWidth="1"/>
    <col min="9" max="9" width="14.28515625" customWidth="1"/>
    <col min="10" max="10" width="12.42578125" customWidth="1"/>
    <col min="11" max="11" width="12.28515625" style="56" customWidth="1"/>
    <col min="12" max="12" width="17" customWidth="1"/>
    <col min="13" max="13" width="21.5703125" customWidth="1"/>
    <col min="14" max="14" width="22.28515625" customWidth="1"/>
  </cols>
  <sheetData>
    <row r="1" spans="1:11" x14ac:dyDescent="0.25">
      <c r="A1" s="167"/>
      <c r="B1" s="168"/>
      <c r="C1" s="168"/>
      <c r="D1" s="169"/>
      <c r="E1" s="170"/>
      <c r="F1" s="168"/>
      <c r="G1" s="168"/>
      <c r="H1" s="168"/>
      <c r="I1" s="168"/>
      <c r="J1" s="168"/>
      <c r="K1" s="177"/>
    </row>
    <row r="2" spans="1:11" x14ac:dyDescent="0.25">
      <c r="A2" s="171"/>
      <c r="E2" s="172"/>
      <c r="K2" s="178"/>
    </row>
    <row r="3" spans="1:11" x14ac:dyDescent="0.25">
      <c r="A3" s="171"/>
      <c r="E3" s="172"/>
      <c r="K3" s="178"/>
    </row>
    <row r="4" spans="1:11" x14ac:dyDescent="0.25">
      <c r="A4" s="171"/>
      <c r="E4" s="172"/>
      <c r="K4" s="178"/>
    </row>
    <row r="5" spans="1:11" x14ac:dyDescent="0.25">
      <c r="A5" s="171"/>
      <c r="E5" s="172"/>
      <c r="K5" s="178"/>
    </row>
    <row r="6" spans="1:11" x14ac:dyDescent="0.25">
      <c r="A6" s="171"/>
      <c r="E6" s="172"/>
      <c r="K6" s="178"/>
    </row>
    <row r="7" spans="1:11" x14ac:dyDescent="0.25">
      <c r="A7" s="171"/>
      <c r="E7" s="172"/>
      <c r="K7" s="178"/>
    </row>
    <row r="8" spans="1:11" x14ac:dyDescent="0.25">
      <c r="A8" s="171"/>
      <c r="E8" s="172"/>
      <c r="K8" s="178"/>
    </row>
    <row r="9" spans="1:11" x14ac:dyDescent="0.25">
      <c r="A9" s="171"/>
      <c r="E9" s="172"/>
      <c r="K9" s="178"/>
    </row>
    <row r="10" spans="1:11" x14ac:dyDescent="0.25">
      <c r="A10" s="171"/>
      <c r="E10" s="172"/>
      <c r="K10" s="178"/>
    </row>
    <row r="11" spans="1:11" x14ac:dyDescent="0.25">
      <c r="A11" s="171"/>
      <c r="E11" s="172"/>
      <c r="K11" s="178"/>
    </row>
    <row r="12" spans="1:11" x14ac:dyDescent="0.25">
      <c r="A12" s="171"/>
      <c r="E12" s="172"/>
      <c r="K12" s="178"/>
    </row>
    <row r="13" spans="1:11" x14ac:dyDescent="0.25">
      <c r="A13" s="171"/>
      <c r="E13" s="172"/>
      <c r="K13" s="178"/>
    </row>
    <row r="14" spans="1:11" x14ac:dyDescent="0.25">
      <c r="A14" s="171"/>
      <c r="E14" s="172"/>
      <c r="K14" s="178"/>
    </row>
    <row r="15" spans="1:11" x14ac:dyDescent="0.25">
      <c r="A15" s="171"/>
      <c r="E15" s="172"/>
      <c r="K15" s="178"/>
    </row>
    <row r="16" spans="1:11" x14ac:dyDescent="0.25">
      <c r="A16" s="171"/>
      <c r="E16" s="172"/>
      <c r="K16" s="178"/>
    </row>
    <row r="17" spans="1:11" x14ac:dyDescent="0.25">
      <c r="A17" s="171"/>
      <c r="E17" s="172"/>
      <c r="K17" s="178"/>
    </row>
    <row r="18" spans="1:11" x14ac:dyDescent="0.25">
      <c r="A18" s="171"/>
      <c r="E18" s="172"/>
      <c r="K18" s="178"/>
    </row>
    <row r="19" spans="1:11" x14ac:dyDescent="0.25">
      <c r="A19" s="171"/>
      <c r="E19" s="172"/>
      <c r="K19" s="178"/>
    </row>
    <row r="20" spans="1:11" x14ac:dyDescent="0.25">
      <c r="A20" s="171"/>
      <c r="E20" s="172"/>
      <c r="K20" s="178"/>
    </row>
    <row r="21" spans="1:11" x14ac:dyDescent="0.25">
      <c r="A21" s="171"/>
      <c r="E21" s="172"/>
      <c r="K21" s="178"/>
    </row>
    <row r="22" spans="1:11" x14ac:dyDescent="0.25">
      <c r="A22" s="171"/>
      <c r="E22" s="172"/>
      <c r="K22" s="178"/>
    </row>
    <row r="23" spans="1:11" x14ac:dyDescent="0.25">
      <c r="A23" s="171"/>
      <c r="E23" s="172"/>
      <c r="K23" s="178"/>
    </row>
    <row r="24" spans="1:11" ht="15.75" thickBot="1" x14ac:dyDescent="0.3">
      <c r="A24" s="173"/>
      <c r="B24" s="174"/>
      <c r="C24" s="174"/>
      <c r="D24" s="175"/>
      <c r="E24" s="176"/>
      <c r="F24" s="174"/>
      <c r="G24" s="174"/>
      <c r="H24" s="174"/>
      <c r="I24" s="174"/>
      <c r="J24" s="174"/>
      <c r="K24" s="179"/>
    </row>
    <row r="39" spans="1:14" ht="33.75" x14ac:dyDescent="0.5">
      <c r="A39" s="564" t="s">
        <v>129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</row>
    <row r="40" spans="1:14" ht="26.25" x14ac:dyDescent="0.4">
      <c r="K40" s="348" t="str">
        <f>Дог.!G8</f>
        <v>Филиал №</v>
      </c>
      <c r="L40" s="348"/>
      <c r="M40" s="348" t="str">
        <f>Дог.!L8</f>
        <v>ул. Лермонтова д.№ 68</v>
      </c>
      <c r="N40" s="348"/>
    </row>
    <row r="42" spans="1:14" ht="26.25" x14ac:dyDescent="0.4">
      <c r="A42" s="45"/>
      <c r="B42" s="60"/>
      <c r="C42" s="45"/>
      <c r="D42" s="52"/>
      <c r="E42" s="45"/>
      <c r="F42" s="45"/>
      <c r="G42" s="45"/>
      <c r="H42" s="45"/>
      <c r="I42" s="45"/>
      <c r="J42" s="45"/>
      <c r="K42" s="57"/>
      <c r="L42" s="45"/>
      <c r="M42" s="58" t="s">
        <v>78</v>
      </c>
      <c r="N42" s="59">
        <f ca="1">'Пр №1'!J21</f>
        <v>46031</v>
      </c>
    </row>
    <row r="43" spans="1:14" ht="26.25" x14ac:dyDescent="0.4">
      <c r="A43" s="45"/>
      <c r="B43" s="60" t="s">
        <v>74</v>
      </c>
      <c r="C43" s="45"/>
      <c r="D43" s="52"/>
      <c r="E43" s="45"/>
      <c r="F43" s="45"/>
      <c r="G43" s="45"/>
      <c r="H43" s="45"/>
      <c r="I43" s="45"/>
      <c r="J43" s="45"/>
      <c r="K43" s="57"/>
      <c r="L43" s="45"/>
      <c r="M43" s="45"/>
      <c r="N43" s="45"/>
    </row>
    <row r="44" spans="1:14" ht="26.25" x14ac:dyDescent="0.4">
      <c r="A44" s="348" t="s">
        <v>66</v>
      </c>
      <c r="B44" s="348"/>
      <c r="C44" s="348"/>
      <c r="D44" s="348"/>
      <c r="E44" s="60"/>
      <c r="F44" s="60"/>
      <c r="G44" s="60"/>
      <c r="H44" s="60"/>
      <c r="I44" s="60"/>
      <c r="J44" s="60"/>
      <c r="K44" s="348" t="s">
        <v>67</v>
      </c>
      <c r="L44" s="348"/>
      <c r="M44" s="348"/>
      <c r="N44" s="348"/>
    </row>
    <row r="45" spans="1:14" ht="27" thickBot="1" x14ac:dyDescent="0.45">
      <c r="A45" s="563" t="str">
        <f>'Пр №1'!B50</f>
        <v xml:space="preserve"> Зинченко Михаил Александрович</v>
      </c>
      <c r="B45" s="563"/>
      <c r="C45" s="563"/>
      <c r="D45" s="563"/>
      <c r="E45" s="61"/>
      <c r="F45" s="61"/>
      <c r="G45" s="61"/>
      <c r="H45" s="61"/>
      <c r="I45" s="61"/>
      <c r="J45" s="61"/>
      <c r="K45" s="563" t="str">
        <f>'Пр №1'!L50</f>
        <v>ХХХХ ХХХХ ХХХХ</v>
      </c>
      <c r="L45" s="563"/>
      <c r="M45" s="563"/>
      <c r="N45" s="563"/>
    </row>
    <row r="46" spans="1:14" ht="87.75" customHeight="1" thickBot="1" x14ac:dyDescent="0.3">
      <c r="A46" s="62" t="s">
        <v>12</v>
      </c>
      <c r="B46" s="63" t="s">
        <v>143</v>
      </c>
      <c r="C46" s="555" t="s">
        <v>133</v>
      </c>
      <c r="D46" s="555"/>
      <c r="E46" s="135" t="s">
        <v>130</v>
      </c>
      <c r="F46" s="555" t="s">
        <v>131</v>
      </c>
      <c r="G46" s="555"/>
      <c r="H46" s="555"/>
      <c r="I46" s="135" t="s">
        <v>144</v>
      </c>
      <c r="J46" s="135" t="s">
        <v>145</v>
      </c>
      <c r="K46" s="135" t="s">
        <v>614</v>
      </c>
      <c r="L46" s="556" t="s">
        <v>147</v>
      </c>
      <c r="M46" s="557"/>
      <c r="N46" s="558"/>
    </row>
    <row r="47" spans="1:14" ht="81" customHeight="1" x14ac:dyDescent="0.25">
      <c r="A47" s="534">
        <v>1</v>
      </c>
      <c r="B47" s="536" t="str">
        <f>'Пр №1'!A10</f>
        <v>ХХХХ ХХХХ ХХХХ</v>
      </c>
      <c r="C47" s="47" t="str">
        <f>Дог.!E19</f>
        <v>ХХХ</v>
      </c>
      <c r="D47" s="53" t="str">
        <f>Дог.!G19</f>
        <v>ХХХХХ</v>
      </c>
      <c r="E47" s="166" t="str">
        <f>Дог.!D7</f>
        <v>ХХХХ ХХХ ХХХХХ</v>
      </c>
      <c r="F47" s="46" t="s">
        <v>148</v>
      </c>
      <c r="G47" s="46" t="str">
        <f>Дог.!C20</f>
        <v>Чуйская область г. Бишкек</v>
      </c>
      <c r="H47" s="46" t="str">
        <f>Дог.!J20</f>
        <v>ул. ХХХХХ</v>
      </c>
      <c r="I47" s="536" t="str">
        <f>'Пр №1'!B20</f>
        <v>XXXXXXX</v>
      </c>
      <c r="J47" s="536">
        <f ca="1">'Акт расч'!L20</f>
        <v>0</v>
      </c>
      <c r="K47" s="559">
        <f ca="1">'Акт расч'!P49</f>
        <v>-3000</v>
      </c>
      <c r="L47" s="541"/>
      <c r="M47" s="542"/>
      <c r="N47" s="543"/>
    </row>
    <row r="48" spans="1:14" ht="46.5" customHeight="1" x14ac:dyDescent="0.25">
      <c r="A48" s="534"/>
      <c r="B48" s="536"/>
      <c r="C48" s="550" t="str">
        <f>Дог.!J19</f>
        <v>МКК</v>
      </c>
      <c r="D48" s="551"/>
      <c r="E48" s="46"/>
      <c r="F48" s="552" t="s">
        <v>146</v>
      </c>
      <c r="G48" s="552" t="str">
        <f>Дог.!A21</f>
        <v>Чуйская область г. Бишкек</v>
      </c>
      <c r="H48" s="552" t="str">
        <f>Дог.!I21</f>
        <v>ул. ХХХХХ</v>
      </c>
      <c r="I48" s="536"/>
      <c r="J48" s="536"/>
      <c r="K48" s="560"/>
      <c r="L48" s="544"/>
      <c r="M48" s="545"/>
      <c r="N48" s="546"/>
    </row>
    <row r="49" spans="1:14" ht="43.5" customHeight="1" thickBot="1" x14ac:dyDescent="0.3">
      <c r="A49" s="535"/>
      <c r="B49" s="537"/>
      <c r="C49" s="48" t="str">
        <f>Дог.!A22</f>
        <v>ПИН:</v>
      </c>
      <c r="D49" s="44" t="str">
        <f>Дог.!C22</f>
        <v>ХХХХ</v>
      </c>
      <c r="E49" s="136"/>
      <c r="F49" s="537"/>
      <c r="G49" s="537"/>
      <c r="H49" s="537"/>
      <c r="I49" s="537"/>
      <c r="J49" s="537"/>
      <c r="K49" s="561"/>
      <c r="L49" s="547"/>
      <c r="M49" s="548"/>
      <c r="N49" s="549"/>
    </row>
    <row r="50" spans="1:14" ht="68.25" customHeight="1" thickBot="1" x14ac:dyDescent="0.3">
      <c r="A50" s="54" t="s">
        <v>12</v>
      </c>
      <c r="B50" s="55" t="s">
        <v>132</v>
      </c>
      <c r="C50" s="421" t="s">
        <v>133</v>
      </c>
      <c r="D50" s="562"/>
      <c r="E50" s="55" t="s">
        <v>130</v>
      </c>
      <c r="F50" s="421" t="s">
        <v>131</v>
      </c>
      <c r="G50" s="422"/>
      <c r="H50" s="422"/>
      <c r="I50" s="422"/>
      <c r="J50" s="422"/>
      <c r="K50" s="562"/>
      <c r="L50" s="470" t="s">
        <v>147</v>
      </c>
      <c r="M50" s="471"/>
      <c r="N50" s="554"/>
    </row>
    <row r="51" spans="1:14" ht="66.75" customHeight="1" x14ac:dyDescent="0.25">
      <c r="A51" s="534">
        <v>1</v>
      </c>
      <c r="B51" s="536" t="s">
        <v>240</v>
      </c>
      <c r="C51" s="47"/>
      <c r="D51" s="53"/>
      <c r="E51" s="46"/>
      <c r="F51" s="46"/>
      <c r="G51" s="538"/>
      <c r="H51" s="539"/>
      <c r="I51" s="538"/>
      <c r="J51" s="540"/>
      <c r="K51" s="539"/>
      <c r="L51" s="541"/>
      <c r="M51" s="542"/>
      <c r="N51" s="543"/>
    </row>
    <row r="52" spans="1:14" ht="54.95" customHeight="1" x14ac:dyDescent="0.25">
      <c r="A52" s="534"/>
      <c r="B52" s="536"/>
      <c r="C52" s="550"/>
      <c r="D52" s="551"/>
      <c r="E52" s="46"/>
      <c r="F52" s="552"/>
      <c r="G52" s="553"/>
      <c r="H52" s="553"/>
      <c r="I52" s="553"/>
      <c r="J52" s="553"/>
      <c r="K52" s="553"/>
      <c r="L52" s="544"/>
      <c r="M52" s="545"/>
      <c r="N52" s="546"/>
    </row>
    <row r="53" spans="1:14" ht="54.95" customHeight="1" thickBot="1" x14ac:dyDescent="0.3">
      <c r="A53" s="535"/>
      <c r="B53" s="537"/>
      <c r="C53" s="48" t="str">
        <f>C49</f>
        <v>ПИН:</v>
      </c>
      <c r="D53" s="44"/>
      <c r="E53" s="136"/>
      <c r="F53" s="537"/>
      <c r="G53" s="553"/>
      <c r="H53" s="553"/>
      <c r="I53" s="553"/>
      <c r="J53" s="553"/>
      <c r="K53" s="553"/>
      <c r="L53" s="547"/>
      <c r="M53" s="548"/>
      <c r="N53" s="549"/>
    </row>
    <row r="54" spans="1:14" ht="54.95" customHeight="1" x14ac:dyDescent="0.25">
      <c r="A54" s="534">
        <v>2</v>
      </c>
      <c r="B54" s="536" t="s">
        <v>241</v>
      </c>
      <c r="C54" s="47"/>
      <c r="D54" s="53"/>
      <c r="E54" s="46"/>
      <c r="F54" s="46"/>
      <c r="G54" s="538"/>
      <c r="H54" s="539"/>
      <c r="I54" s="538"/>
      <c r="J54" s="540"/>
      <c r="K54" s="539"/>
      <c r="L54" s="541"/>
      <c r="M54" s="542"/>
      <c r="N54" s="543"/>
    </row>
    <row r="55" spans="1:14" ht="54.95" customHeight="1" x14ac:dyDescent="0.25">
      <c r="A55" s="534"/>
      <c r="B55" s="536"/>
      <c r="C55" s="550"/>
      <c r="D55" s="551"/>
      <c r="E55" s="46"/>
      <c r="F55" s="552"/>
      <c r="G55" s="553"/>
      <c r="H55" s="553"/>
      <c r="I55" s="553"/>
      <c r="J55" s="553"/>
      <c r="K55" s="553"/>
      <c r="L55" s="544"/>
      <c r="M55" s="545"/>
      <c r="N55" s="546"/>
    </row>
    <row r="56" spans="1:14" ht="54.95" customHeight="1" thickBot="1" x14ac:dyDescent="0.3">
      <c r="A56" s="535"/>
      <c r="B56" s="537"/>
      <c r="C56" s="48" t="str">
        <f>C53</f>
        <v>ПИН:</v>
      </c>
      <c r="D56" s="44"/>
      <c r="E56" s="136"/>
      <c r="F56" s="537"/>
      <c r="G56" s="553"/>
      <c r="H56" s="553"/>
      <c r="I56" s="553"/>
      <c r="J56" s="553"/>
      <c r="K56" s="553"/>
      <c r="L56" s="547"/>
      <c r="M56" s="548"/>
      <c r="N56" s="549"/>
    </row>
    <row r="57" spans="1:14" ht="54.95" customHeight="1" x14ac:dyDescent="0.25">
      <c r="A57" s="534">
        <v>3</v>
      </c>
      <c r="B57" s="536" t="s">
        <v>242</v>
      </c>
      <c r="C57" s="47"/>
      <c r="D57" s="53"/>
      <c r="E57" s="46"/>
      <c r="F57" s="46"/>
      <c r="G57" s="538"/>
      <c r="H57" s="539"/>
      <c r="I57" s="538"/>
      <c r="J57" s="540"/>
      <c r="K57" s="539"/>
      <c r="L57" s="541"/>
      <c r="M57" s="542"/>
      <c r="N57" s="543"/>
    </row>
    <row r="58" spans="1:14" ht="54.95" customHeight="1" x14ac:dyDescent="0.25">
      <c r="A58" s="534"/>
      <c r="B58" s="536"/>
      <c r="C58" s="550"/>
      <c r="D58" s="551"/>
      <c r="E58" s="46"/>
      <c r="F58" s="552"/>
      <c r="G58" s="553"/>
      <c r="H58" s="553"/>
      <c r="I58" s="553"/>
      <c r="J58" s="553"/>
      <c r="K58" s="553"/>
      <c r="L58" s="544"/>
      <c r="M58" s="545"/>
      <c r="N58" s="546"/>
    </row>
    <row r="59" spans="1:14" ht="54.95" customHeight="1" thickBot="1" x14ac:dyDescent="0.3">
      <c r="A59" s="535"/>
      <c r="B59" s="537"/>
      <c r="C59" s="48" t="str">
        <f>C56</f>
        <v>ПИН:</v>
      </c>
      <c r="D59" s="44"/>
      <c r="E59" s="136"/>
      <c r="F59" s="537"/>
      <c r="G59" s="553"/>
      <c r="H59" s="553"/>
      <c r="I59" s="553"/>
      <c r="J59" s="553"/>
      <c r="K59" s="553"/>
      <c r="L59" s="547"/>
      <c r="M59" s="548"/>
      <c r="N59" s="549"/>
    </row>
    <row r="60" spans="1:14" ht="54.95" customHeight="1" x14ac:dyDescent="0.25">
      <c r="A60" s="534">
        <v>4</v>
      </c>
      <c r="B60" s="536"/>
      <c r="C60" s="47"/>
      <c r="D60" s="53"/>
      <c r="E60" s="46"/>
      <c r="F60" s="46"/>
      <c r="G60" s="538"/>
      <c r="H60" s="539"/>
      <c r="I60" s="538"/>
      <c r="J60" s="540"/>
      <c r="K60" s="539"/>
      <c r="L60" s="541"/>
      <c r="M60" s="542"/>
      <c r="N60" s="543"/>
    </row>
    <row r="61" spans="1:14" ht="54.95" customHeight="1" x14ac:dyDescent="0.25">
      <c r="A61" s="534"/>
      <c r="B61" s="536"/>
      <c r="C61" s="550"/>
      <c r="D61" s="551"/>
      <c r="E61" s="46"/>
      <c r="F61" s="552"/>
      <c r="G61" s="553"/>
      <c r="H61" s="553"/>
      <c r="I61" s="553"/>
      <c r="J61" s="553"/>
      <c r="K61" s="553"/>
      <c r="L61" s="544"/>
      <c r="M61" s="545"/>
      <c r="N61" s="546"/>
    </row>
    <row r="62" spans="1:14" ht="54.95" customHeight="1" thickBot="1" x14ac:dyDescent="0.3">
      <c r="A62" s="535"/>
      <c r="B62" s="537"/>
      <c r="C62" s="48" t="str">
        <f>C59</f>
        <v>ПИН:</v>
      </c>
      <c r="D62" s="44"/>
      <c r="E62" s="136"/>
      <c r="F62" s="537"/>
      <c r="G62" s="553"/>
      <c r="H62" s="553"/>
      <c r="I62" s="553"/>
      <c r="J62" s="553"/>
      <c r="K62" s="553"/>
      <c r="L62" s="547"/>
      <c r="M62" s="548"/>
      <c r="N62" s="549"/>
    </row>
    <row r="63" spans="1:14" ht="24" thickBot="1" x14ac:dyDescent="0.4">
      <c r="A63" s="532"/>
      <c r="B63" s="533"/>
      <c r="C63" s="53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49"/>
    </row>
    <row r="64" spans="1:14" ht="23.25" x14ac:dyDescent="0.35">
      <c r="N64" s="50"/>
    </row>
  </sheetData>
  <mergeCells count="60">
    <mergeCell ref="A45:D45"/>
    <mergeCell ref="K45:N45"/>
    <mergeCell ref="A39:N39"/>
    <mergeCell ref="K40:L40"/>
    <mergeCell ref="M40:N40"/>
    <mergeCell ref="A44:D44"/>
    <mergeCell ref="K44:N44"/>
    <mergeCell ref="L50:N50"/>
    <mergeCell ref="C46:D46"/>
    <mergeCell ref="F46:H46"/>
    <mergeCell ref="L46:N46"/>
    <mergeCell ref="A47:A49"/>
    <mergeCell ref="B47:B49"/>
    <mergeCell ref="I47:I49"/>
    <mergeCell ref="J47:J49"/>
    <mergeCell ref="K47:K49"/>
    <mergeCell ref="L47:N49"/>
    <mergeCell ref="C48:D48"/>
    <mergeCell ref="F48:F49"/>
    <mergeCell ref="G48:G49"/>
    <mergeCell ref="H48:H49"/>
    <mergeCell ref="C50:D50"/>
    <mergeCell ref="F50:K50"/>
    <mergeCell ref="A51:A53"/>
    <mergeCell ref="B51:B53"/>
    <mergeCell ref="G51:H51"/>
    <mergeCell ref="I51:K51"/>
    <mergeCell ref="L51:N53"/>
    <mergeCell ref="C52:D52"/>
    <mergeCell ref="F52:F53"/>
    <mergeCell ref="G52:H53"/>
    <mergeCell ref="I52:K53"/>
    <mergeCell ref="A54:A56"/>
    <mergeCell ref="B54:B56"/>
    <mergeCell ref="G54:H54"/>
    <mergeCell ref="I54:K54"/>
    <mergeCell ref="L54:N56"/>
    <mergeCell ref="C55:D55"/>
    <mergeCell ref="F55:F56"/>
    <mergeCell ref="G55:H56"/>
    <mergeCell ref="I55:K56"/>
    <mergeCell ref="A57:A59"/>
    <mergeCell ref="B57:B59"/>
    <mergeCell ref="G57:H57"/>
    <mergeCell ref="I57:K57"/>
    <mergeCell ref="L57:N59"/>
    <mergeCell ref="C58:D58"/>
    <mergeCell ref="F58:F59"/>
    <mergeCell ref="G58:H59"/>
    <mergeCell ref="I58:K59"/>
    <mergeCell ref="A63:M63"/>
    <mergeCell ref="A60:A62"/>
    <mergeCell ref="B60:B62"/>
    <mergeCell ref="G60:H60"/>
    <mergeCell ref="I60:K60"/>
    <mergeCell ref="L60:N62"/>
    <mergeCell ref="C61:D61"/>
    <mergeCell ref="F61:F62"/>
    <mergeCell ref="G61:H62"/>
    <mergeCell ref="I61:K62"/>
  </mergeCells>
  <pageMargins left="0.25" right="0.25" top="0.75" bottom="0.75" header="0.3" footer="0.3"/>
  <pageSetup paperSize="9" scale="5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158"/>
  <sheetViews>
    <sheetView zoomScale="80" zoomScaleNormal="80" workbookViewId="0">
      <selection activeCell="G6" sqref="G6"/>
    </sheetView>
  </sheetViews>
  <sheetFormatPr defaultRowHeight="18.75" x14ac:dyDescent="0.3"/>
  <cols>
    <col min="1" max="1" width="10.140625" style="122" customWidth="1"/>
    <col min="2" max="2" width="13.5703125" style="122" customWidth="1"/>
    <col min="3" max="3" width="10.140625" style="122" customWidth="1"/>
    <col min="4" max="4" width="9.140625" style="122"/>
    <col min="5" max="5" width="11.28515625" style="122" customWidth="1"/>
    <col min="6" max="6" width="14.7109375" style="122" customWidth="1"/>
    <col min="7" max="7" width="11.5703125" style="122" customWidth="1"/>
    <col min="8" max="8" width="17.140625" style="122" bestFit="1" customWidth="1"/>
    <col min="9" max="9" width="11.5703125" style="122" customWidth="1"/>
    <col min="10" max="10" width="14.140625" style="122" customWidth="1"/>
    <col min="11" max="11" width="3.140625" style="122" customWidth="1"/>
    <col min="12" max="12" width="17.85546875" style="122" customWidth="1"/>
    <col min="13" max="13" width="5.7109375" style="122" customWidth="1"/>
    <col min="14" max="16384" width="9.140625" style="122"/>
  </cols>
  <sheetData>
    <row r="1" spans="1:23" x14ac:dyDescent="0.3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50">
        <v>1</v>
      </c>
    </row>
    <row r="2" spans="1:23" x14ac:dyDescent="0.3">
      <c r="A2" s="151"/>
      <c r="H2" s="565" t="str">
        <f>Дог.!A67</f>
        <v>З. М.</v>
      </c>
      <c r="I2" s="565"/>
      <c r="J2" s="565"/>
      <c r="K2" s="565"/>
      <c r="L2" s="565"/>
      <c r="M2" s="566"/>
    </row>
    <row r="3" spans="1:23" x14ac:dyDescent="0.3">
      <c r="A3" s="151"/>
      <c r="J3" s="565" t="s">
        <v>336</v>
      </c>
      <c r="K3" s="565"/>
      <c r="L3" s="565"/>
      <c r="M3" s="566"/>
    </row>
    <row r="4" spans="1:23" ht="19.5" thickBot="1" x14ac:dyDescent="0.35">
      <c r="A4" s="151"/>
      <c r="J4" s="576" t="str">
        <f>Дог.!M7</f>
        <v>+996 (552) 727 607</v>
      </c>
      <c r="K4" s="576"/>
      <c r="L4" s="576"/>
      <c r="M4" s="577"/>
      <c r="O4" s="123"/>
    </row>
    <row r="5" spans="1:23" x14ac:dyDescent="0.3">
      <c r="A5" s="151"/>
      <c r="J5" s="565" t="s">
        <v>337</v>
      </c>
      <c r="K5" s="565"/>
      <c r="L5" s="565"/>
      <c r="M5" s="566"/>
      <c r="O5" s="567" t="s">
        <v>499</v>
      </c>
      <c r="P5" s="568"/>
      <c r="Q5" s="568"/>
      <c r="R5" s="568"/>
      <c r="S5" s="568"/>
      <c r="T5" s="568"/>
      <c r="U5" s="568"/>
      <c r="V5" s="568"/>
      <c r="W5" s="569"/>
    </row>
    <row r="6" spans="1:23" x14ac:dyDescent="0.3">
      <c r="A6" s="151"/>
      <c r="M6" s="131"/>
      <c r="O6" s="570"/>
      <c r="P6" s="571"/>
      <c r="Q6" s="571"/>
      <c r="R6" s="571"/>
      <c r="S6" s="571"/>
      <c r="T6" s="571"/>
      <c r="U6" s="571"/>
      <c r="V6" s="571"/>
      <c r="W6" s="572"/>
    </row>
    <row r="7" spans="1:23" x14ac:dyDescent="0.3">
      <c r="A7" s="151"/>
      <c r="M7" s="131"/>
      <c r="O7" s="570"/>
      <c r="P7" s="571"/>
      <c r="Q7" s="571"/>
      <c r="R7" s="571"/>
      <c r="S7" s="571"/>
      <c r="T7" s="571"/>
      <c r="U7" s="571"/>
      <c r="V7" s="571"/>
      <c r="W7" s="572"/>
    </row>
    <row r="8" spans="1:23" ht="19.5" thickBot="1" x14ac:dyDescent="0.35">
      <c r="A8" s="151"/>
      <c r="M8" s="131"/>
      <c r="O8" s="573"/>
      <c r="P8" s="574"/>
      <c r="Q8" s="574"/>
      <c r="R8" s="574"/>
      <c r="S8" s="574"/>
      <c r="T8" s="574"/>
      <c r="U8" s="574"/>
      <c r="V8" s="574"/>
      <c r="W8" s="575"/>
    </row>
    <row r="9" spans="1:23" ht="32.25" thickBot="1" x14ac:dyDescent="0.55000000000000004">
      <c r="A9" s="578" t="s">
        <v>338</v>
      </c>
      <c r="B9" s="579"/>
      <c r="C9" s="579"/>
      <c r="D9" s="579"/>
      <c r="E9" s="579"/>
      <c r="F9" s="579"/>
      <c r="G9" s="579"/>
      <c r="H9" s="579"/>
      <c r="I9" s="579"/>
      <c r="J9" s="579"/>
      <c r="K9" s="579"/>
      <c r="L9" s="579"/>
      <c r="M9" s="580"/>
    </row>
    <row r="10" spans="1:23" x14ac:dyDescent="0.3">
      <c r="A10" s="151"/>
      <c r="M10" s="131"/>
    </row>
    <row r="11" spans="1:23" x14ac:dyDescent="0.3">
      <c r="A11" s="152"/>
      <c r="B11" s="134"/>
      <c r="C11" s="134"/>
      <c r="D11" s="582" t="s">
        <v>332</v>
      </c>
      <c r="E11" s="582"/>
      <c r="F11" s="583" t="str">
        <f>Дог.!$A$18</f>
        <v>ХХХХ ХХХХ ХХХХ</v>
      </c>
      <c r="G11" s="583"/>
      <c r="H11" s="583"/>
      <c r="I11" s="583"/>
      <c r="J11" s="583"/>
      <c r="K11" s="134"/>
      <c r="L11" s="124" t="str">
        <f>Дог.!A23</f>
        <v>ХХХХХ</v>
      </c>
      <c r="M11" s="153" t="s">
        <v>254</v>
      </c>
    </row>
    <row r="12" spans="1:23" ht="19.5" thickBot="1" x14ac:dyDescent="0.35">
      <c r="A12" s="151"/>
      <c r="M12" s="131"/>
    </row>
    <row r="13" spans="1:23" ht="19.5" thickBot="1" x14ac:dyDescent="0.35">
      <c r="A13" s="584" t="s">
        <v>343</v>
      </c>
      <c r="B13" s="585"/>
      <c r="C13" s="585"/>
      <c r="D13" s="585"/>
      <c r="E13" s="585"/>
      <c r="F13" s="585"/>
      <c r="G13" s="125">
        <f ca="1">Дог.!J10</f>
        <v>9</v>
      </c>
      <c r="H13" s="126">
        <f ca="1">Дог.!K10</f>
        <v>1</v>
      </c>
      <c r="I13" s="126">
        <f ca="1">Дог.!L10</f>
        <v>2026</v>
      </c>
      <c r="J13" s="231">
        <f ca="1">Дог.!M10</f>
        <v>46031.871582060186</v>
      </c>
      <c r="K13" s="128" t="s">
        <v>256</v>
      </c>
      <c r="L13" s="133">
        <f ca="1">'Пр №1'!J21</f>
        <v>46031</v>
      </c>
      <c r="M13" s="131"/>
    </row>
    <row r="14" spans="1:23" x14ac:dyDescent="0.3">
      <c r="A14" s="584" t="s">
        <v>364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8"/>
    </row>
    <row r="15" spans="1:23" x14ac:dyDescent="0.3">
      <c r="A15" s="584" t="s">
        <v>478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8"/>
    </row>
    <row r="16" spans="1:23" x14ac:dyDescent="0.3">
      <c r="A16" s="589" t="s">
        <v>382</v>
      </c>
      <c r="B16" s="590"/>
      <c r="C16" s="590"/>
      <c r="D16" s="590"/>
      <c r="E16" s="590"/>
      <c r="F16" s="590"/>
      <c r="G16" s="590"/>
      <c r="H16" s="590"/>
      <c r="I16" s="590"/>
      <c r="J16" s="146">
        <f ca="1">J13</f>
        <v>46031.871582060186</v>
      </c>
      <c r="K16" s="128"/>
      <c r="L16" s="133">
        <f ca="1">'Пр №1'!M31</f>
        <v>46032</v>
      </c>
      <c r="M16" s="154"/>
    </row>
    <row r="17" spans="1:13" x14ac:dyDescent="0.3">
      <c r="A17" s="589" t="s">
        <v>383</v>
      </c>
      <c r="B17" s="590"/>
      <c r="C17" s="590"/>
      <c r="D17" s="590"/>
      <c r="E17" s="590"/>
      <c r="F17" s="590"/>
      <c r="G17" s="590"/>
      <c r="H17" s="590"/>
      <c r="I17" s="590"/>
      <c r="J17" s="590"/>
      <c r="K17" s="590"/>
      <c r="L17" s="590"/>
      <c r="M17" s="591"/>
    </row>
    <row r="18" spans="1:13" x14ac:dyDescent="0.3">
      <c r="A18" s="589" t="s">
        <v>384</v>
      </c>
      <c r="B18" s="590"/>
      <c r="C18" s="590"/>
      <c r="D18" s="590"/>
      <c r="E18" s="590"/>
      <c r="F18" s="590"/>
      <c r="G18" s="590"/>
      <c r="H18" s="590"/>
      <c r="I18" s="590"/>
      <c r="J18" s="590"/>
      <c r="K18" s="590"/>
      <c r="L18" s="590"/>
      <c r="M18" s="591"/>
    </row>
    <row r="19" spans="1:13" x14ac:dyDescent="0.3">
      <c r="A19" s="592" t="str">
        <f>H2</f>
        <v>З. М.</v>
      </c>
      <c r="B19" s="593"/>
      <c r="C19" s="593" t="s">
        <v>385</v>
      </c>
      <c r="D19" s="593"/>
      <c r="E19" s="593"/>
      <c r="F19" s="133">
        <f ca="1">'Пр №1'!J21</f>
        <v>46031</v>
      </c>
      <c r="G19" s="590" t="s">
        <v>386</v>
      </c>
      <c r="H19" s="590"/>
      <c r="I19" s="590"/>
      <c r="J19" s="590"/>
      <c r="K19" s="590"/>
      <c r="L19" s="590"/>
      <c r="M19" s="591"/>
    </row>
    <row r="20" spans="1:13" x14ac:dyDescent="0.3">
      <c r="A20" s="589" t="s">
        <v>387</v>
      </c>
      <c r="B20" s="590"/>
      <c r="C20" s="590"/>
      <c r="D20" s="600">
        <f ca="1">'Акт расч'!P49</f>
        <v>-3000</v>
      </c>
      <c r="E20" s="600"/>
      <c r="F20" s="144"/>
      <c r="G20" s="144"/>
      <c r="H20" s="144"/>
      <c r="I20" s="144"/>
      <c r="J20" s="144"/>
      <c r="K20" s="144"/>
      <c r="L20" s="144"/>
      <c r="M20" s="155"/>
    </row>
    <row r="21" spans="1:13" ht="19.5" thickBot="1" x14ac:dyDescent="0.35">
      <c r="A21" s="156"/>
      <c r="B21" s="142"/>
      <c r="C21" s="45"/>
      <c r="D21" s="581"/>
      <c r="E21" s="581"/>
      <c r="F21" s="581"/>
      <c r="G21" s="581"/>
      <c r="H21" s="581"/>
      <c r="I21" s="600"/>
      <c r="J21" s="600"/>
      <c r="K21" s="600"/>
      <c r="L21" s="600"/>
      <c r="M21" s="157"/>
    </row>
    <row r="22" spans="1:13" ht="19.5" thickBot="1" x14ac:dyDescent="0.35">
      <c r="A22" s="601" t="s">
        <v>333</v>
      </c>
      <c r="B22" s="306"/>
      <c r="C22" s="602">
        <f ca="1">F19+1</f>
        <v>46032</v>
      </c>
      <c r="D22" s="603"/>
      <c r="E22" s="595" t="s">
        <v>334</v>
      </c>
      <c r="F22" s="595"/>
      <c r="G22" s="595"/>
      <c r="H22" s="595"/>
      <c r="I22" s="595"/>
      <c r="J22" s="595"/>
      <c r="K22" s="595"/>
      <c r="L22" s="595"/>
      <c r="M22" s="596"/>
    </row>
    <row r="23" spans="1:13" x14ac:dyDescent="0.3">
      <c r="A23" s="151"/>
      <c r="C23" s="133"/>
      <c r="D23" s="128"/>
      <c r="M23" s="131"/>
    </row>
    <row r="24" spans="1:13" x14ac:dyDescent="0.3">
      <c r="A24" s="594" t="s">
        <v>477</v>
      </c>
      <c r="B24" s="595"/>
      <c r="C24" s="595"/>
      <c r="D24" s="595"/>
      <c r="E24" s="595"/>
      <c r="F24" s="595"/>
      <c r="G24" s="595"/>
      <c r="H24" s="595"/>
      <c r="I24" s="595"/>
      <c r="J24" s="595"/>
      <c r="K24" s="595"/>
      <c r="L24" s="595"/>
      <c r="M24" s="596"/>
    </row>
    <row r="25" spans="1:13" x14ac:dyDescent="0.3">
      <c r="A25" s="589" t="s">
        <v>330</v>
      </c>
      <c r="B25" s="590"/>
      <c r="C25" s="590"/>
      <c r="D25" s="590"/>
      <c r="E25" s="590"/>
      <c r="F25" s="590"/>
      <c r="G25" s="590"/>
      <c r="H25" s="590"/>
      <c r="I25" s="590"/>
      <c r="J25" s="590"/>
      <c r="K25" s="590"/>
      <c r="L25" s="590"/>
      <c r="M25" s="591"/>
    </row>
    <row r="26" spans="1:13" x14ac:dyDescent="0.3">
      <c r="A26" s="589" t="s">
        <v>331</v>
      </c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591"/>
    </row>
    <row r="27" spans="1:13" x14ac:dyDescent="0.3">
      <c r="A27" s="589" t="s">
        <v>490</v>
      </c>
      <c r="B27" s="590"/>
      <c r="C27" s="590"/>
      <c r="D27" s="590"/>
      <c r="E27" s="590"/>
      <c r="F27" s="590"/>
      <c r="G27" s="590"/>
      <c r="H27" s="590"/>
      <c r="I27" s="590"/>
      <c r="J27" s="590"/>
      <c r="K27" s="590"/>
      <c r="L27" s="590"/>
      <c r="M27" s="591"/>
    </row>
    <row r="28" spans="1:13" x14ac:dyDescent="0.3">
      <c r="A28" s="589" t="s">
        <v>390</v>
      </c>
      <c r="B28" s="590"/>
      <c r="C28" s="590"/>
      <c r="D28" s="590"/>
      <c r="E28" s="590"/>
      <c r="F28" s="590"/>
      <c r="G28" s="590"/>
      <c r="H28" s="590"/>
      <c r="I28" s="590"/>
      <c r="J28" s="590"/>
      <c r="K28" s="590"/>
      <c r="L28" s="590"/>
      <c r="M28" s="591"/>
    </row>
    <row r="29" spans="1:13" x14ac:dyDescent="0.3">
      <c r="A29" s="589" t="s">
        <v>388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591"/>
    </row>
    <row r="30" spans="1:13" x14ac:dyDescent="0.3">
      <c r="A30" s="589" t="s">
        <v>491</v>
      </c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  <c r="M30" s="591"/>
    </row>
    <row r="31" spans="1:13" x14ac:dyDescent="0.3">
      <c r="A31" s="589" t="s">
        <v>389</v>
      </c>
      <c r="B31" s="590"/>
      <c r="C31" s="590"/>
      <c r="D31" s="590"/>
      <c r="E31" s="590"/>
      <c r="F31" s="590"/>
      <c r="G31" s="590"/>
      <c r="H31" s="590"/>
      <c r="I31" s="590"/>
      <c r="J31" s="590"/>
      <c r="K31" s="590"/>
      <c r="L31" s="590"/>
      <c r="M31" s="591"/>
    </row>
    <row r="32" spans="1:13" x14ac:dyDescent="0.3">
      <c r="A32" s="589" t="s">
        <v>358</v>
      </c>
      <c r="B32" s="590"/>
      <c r="C32" s="590"/>
      <c r="D32" s="590"/>
      <c r="E32" s="590"/>
      <c r="F32" s="590"/>
      <c r="G32" s="590"/>
      <c r="H32" s="590"/>
      <c r="I32" s="590"/>
      <c r="J32" s="590"/>
      <c r="K32" s="590"/>
      <c r="L32" s="590"/>
      <c r="M32" s="591"/>
    </row>
    <row r="33" spans="1:13" x14ac:dyDescent="0.3">
      <c r="A33" s="151"/>
      <c r="C33" s="133"/>
      <c r="D33" s="128"/>
      <c r="M33" s="131"/>
    </row>
    <row r="34" spans="1:13" x14ac:dyDescent="0.3">
      <c r="A34" s="151"/>
      <c r="C34" s="133"/>
      <c r="D34" s="128"/>
      <c r="M34" s="131"/>
    </row>
    <row r="35" spans="1:13" x14ac:dyDescent="0.3">
      <c r="A35" s="601" t="s">
        <v>398</v>
      </c>
      <c r="B35" s="306"/>
      <c r="C35" s="306"/>
      <c r="D35" s="306"/>
      <c r="E35" s="306"/>
      <c r="F35" s="306"/>
      <c r="G35" s="306"/>
      <c r="H35" s="306"/>
      <c r="I35" s="306"/>
      <c r="J35" s="306"/>
      <c r="K35" s="306"/>
      <c r="L35" s="306"/>
      <c r="M35" s="608"/>
    </row>
    <row r="36" spans="1:13" x14ac:dyDescent="0.3">
      <c r="A36" s="601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608"/>
    </row>
    <row r="37" spans="1:13" x14ac:dyDescent="0.3">
      <c r="A37" s="151"/>
      <c r="C37" s="130"/>
      <c r="D37" s="129"/>
      <c r="E37" s="85"/>
      <c r="F37" s="85"/>
      <c r="G37" s="85"/>
      <c r="H37" s="85"/>
      <c r="I37" s="85"/>
      <c r="J37" s="85"/>
      <c r="K37" s="85"/>
      <c r="L37" s="85"/>
      <c r="M37" s="147"/>
    </row>
    <row r="38" spans="1:13" x14ac:dyDescent="0.3">
      <c r="A38" s="584"/>
      <c r="B38" s="585"/>
      <c r="C38" s="585"/>
      <c r="D38" s="585"/>
      <c r="E38" s="585"/>
      <c r="F38" s="585"/>
      <c r="G38" s="585"/>
      <c r="H38" s="585"/>
      <c r="I38" s="585"/>
      <c r="J38" s="585"/>
      <c r="K38" s="585"/>
      <c r="L38" s="585"/>
      <c r="M38" s="588"/>
    </row>
    <row r="39" spans="1:13" x14ac:dyDescent="0.3">
      <c r="A39" s="151"/>
      <c r="M39" s="131"/>
    </row>
    <row r="40" spans="1:13" x14ac:dyDescent="0.3">
      <c r="A40" s="151"/>
      <c r="B40" s="127" t="s">
        <v>78</v>
      </c>
      <c r="C40" s="604">
        <f ca="1">F19</f>
        <v>46031</v>
      </c>
      <c r="D40" s="605"/>
      <c r="G40" s="306" t="str">
        <f>H2</f>
        <v>З. М.</v>
      </c>
      <c r="H40" s="306"/>
      <c r="I40" s="306"/>
      <c r="J40" s="606"/>
      <c r="K40" s="606"/>
      <c r="L40" s="606"/>
      <c r="M40" s="607"/>
    </row>
    <row r="41" spans="1:13" x14ac:dyDescent="0.3">
      <c r="A41" s="151"/>
      <c r="J41" s="586" t="s">
        <v>335</v>
      </c>
      <c r="K41" s="586"/>
      <c r="L41" s="586"/>
      <c r="M41" s="587"/>
    </row>
    <row r="42" spans="1:13" x14ac:dyDescent="0.3">
      <c r="A42" s="151"/>
      <c r="M42" s="131"/>
    </row>
    <row r="43" spans="1:13" x14ac:dyDescent="0.3">
      <c r="A43" s="151"/>
      <c r="M43" s="131"/>
    </row>
    <row r="44" spans="1:13" ht="19.5" thickBot="1" x14ac:dyDescent="0.35">
      <c r="A44" s="158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60"/>
    </row>
    <row r="45" spans="1:13" x14ac:dyDescent="0.3">
      <c r="A45" s="148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50">
        <v>2</v>
      </c>
    </row>
    <row r="46" spans="1:13" x14ac:dyDescent="0.3">
      <c r="A46" s="151"/>
      <c r="H46" s="565" t="str">
        <f>H2</f>
        <v>З. М.</v>
      </c>
      <c r="I46" s="565"/>
      <c r="J46" s="565"/>
      <c r="K46" s="565"/>
      <c r="L46" s="565"/>
      <c r="M46" s="566"/>
    </row>
    <row r="47" spans="1:13" x14ac:dyDescent="0.3">
      <c r="A47" s="151"/>
      <c r="J47" s="565" t="s">
        <v>336</v>
      </c>
      <c r="K47" s="565"/>
      <c r="L47" s="565"/>
      <c r="M47" s="566"/>
    </row>
    <row r="48" spans="1:13" ht="19.5" thickBot="1" x14ac:dyDescent="0.35">
      <c r="A48" s="151"/>
      <c r="J48" s="576" t="str">
        <f>J4</f>
        <v>+996 (552) 727 607</v>
      </c>
      <c r="K48" s="576"/>
      <c r="L48" s="576"/>
      <c r="M48" s="577"/>
    </row>
    <row r="49" spans="1:23" x14ac:dyDescent="0.3">
      <c r="A49" s="151"/>
      <c r="J49" s="565" t="s">
        <v>337</v>
      </c>
      <c r="K49" s="565"/>
      <c r="L49" s="565"/>
      <c r="M49" s="566"/>
      <c r="O49" s="567" t="str">
        <f>O5</f>
        <v>Взяли оборудование не оплатили арендную платы и не вернули оборудование</v>
      </c>
      <c r="P49" s="568"/>
      <c r="Q49" s="568"/>
      <c r="R49" s="568"/>
      <c r="S49" s="568"/>
      <c r="T49" s="568"/>
      <c r="U49" s="568"/>
      <c r="V49" s="568"/>
      <c r="W49" s="569"/>
    </row>
    <row r="50" spans="1:23" x14ac:dyDescent="0.3">
      <c r="A50" s="151"/>
      <c r="M50" s="131"/>
      <c r="O50" s="570"/>
      <c r="P50" s="571"/>
      <c r="Q50" s="571"/>
      <c r="R50" s="571"/>
      <c r="S50" s="571"/>
      <c r="T50" s="571"/>
      <c r="U50" s="571"/>
      <c r="V50" s="571"/>
      <c r="W50" s="572"/>
    </row>
    <row r="51" spans="1:23" x14ac:dyDescent="0.3">
      <c r="A51" s="151"/>
      <c r="M51" s="131"/>
      <c r="O51" s="570"/>
      <c r="P51" s="571"/>
      <c r="Q51" s="571"/>
      <c r="R51" s="571"/>
      <c r="S51" s="571"/>
      <c r="T51" s="571"/>
      <c r="U51" s="571"/>
      <c r="V51" s="571"/>
      <c r="W51" s="572"/>
    </row>
    <row r="52" spans="1:23" ht="19.5" thickBot="1" x14ac:dyDescent="0.35">
      <c r="A52" s="151"/>
      <c r="M52" s="131"/>
      <c r="O52" s="573"/>
      <c r="P52" s="574"/>
      <c r="Q52" s="574"/>
      <c r="R52" s="574"/>
      <c r="S52" s="574"/>
      <c r="T52" s="574"/>
      <c r="U52" s="574"/>
      <c r="V52" s="574"/>
      <c r="W52" s="575"/>
    </row>
    <row r="53" spans="1:23" ht="32.25" thickBot="1" x14ac:dyDescent="0.55000000000000004">
      <c r="A53" s="578" t="s">
        <v>401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80"/>
    </row>
    <row r="54" spans="1:23" x14ac:dyDescent="0.3">
      <c r="A54" s="151"/>
      <c r="M54" s="131"/>
    </row>
    <row r="55" spans="1:23" x14ac:dyDescent="0.3">
      <c r="A55" s="152"/>
      <c r="B55" s="134"/>
      <c r="C55" s="134"/>
      <c r="D55" s="582" t="s">
        <v>332</v>
      </c>
      <c r="E55" s="582"/>
      <c r="F55" s="583" t="str">
        <f>Дог.!$A$18</f>
        <v>ХХХХ ХХХХ ХХХХ</v>
      </c>
      <c r="G55" s="583"/>
      <c r="H55" s="583"/>
      <c r="I55" s="583"/>
      <c r="J55" s="583"/>
      <c r="K55" s="134"/>
      <c r="L55" s="124" t="str">
        <f>L11</f>
        <v>ХХХХХ</v>
      </c>
      <c r="M55" s="153" t="s">
        <v>254</v>
      </c>
    </row>
    <row r="56" spans="1:23" ht="19.5" thickBot="1" x14ac:dyDescent="0.35">
      <c r="A56" s="151"/>
      <c r="M56" s="131"/>
    </row>
    <row r="57" spans="1:23" ht="19.5" thickBot="1" x14ac:dyDescent="0.35">
      <c r="A57" s="584" t="s">
        <v>343</v>
      </c>
      <c r="B57" s="585"/>
      <c r="C57" s="585"/>
      <c r="D57" s="585"/>
      <c r="E57" s="585"/>
      <c r="F57" s="585"/>
      <c r="G57" s="125">
        <f ca="1">G13</f>
        <v>9</v>
      </c>
      <c r="H57" s="126">
        <f ca="1">H13</f>
        <v>1</v>
      </c>
      <c r="I57" s="126">
        <f ca="1">I13</f>
        <v>2026</v>
      </c>
      <c r="J57" s="231">
        <f ca="1">J13</f>
        <v>46031.871582060186</v>
      </c>
      <c r="K57" s="128" t="s">
        <v>256</v>
      </c>
      <c r="L57" s="133">
        <f ca="1">L13</f>
        <v>46031</v>
      </c>
      <c r="M57" s="131"/>
    </row>
    <row r="58" spans="1:23" x14ac:dyDescent="0.3">
      <c r="A58" s="584" t="s">
        <v>364</v>
      </c>
      <c r="B58" s="585"/>
      <c r="C58" s="585"/>
      <c r="D58" s="585"/>
      <c r="E58" s="585"/>
      <c r="F58" s="585"/>
      <c r="G58" s="585"/>
      <c r="H58" s="585"/>
      <c r="I58" s="585"/>
      <c r="J58" s="585"/>
      <c r="K58" s="585"/>
      <c r="L58" s="585"/>
      <c r="M58" s="588"/>
    </row>
    <row r="59" spans="1:23" x14ac:dyDescent="0.3">
      <c r="A59" s="584" t="s">
        <v>478</v>
      </c>
      <c r="B59" s="585"/>
      <c r="C59" s="585"/>
      <c r="D59" s="585"/>
      <c r="E59" s="585"/>
      <c r="F59" s="585"/>
      <c r="G59" s="585"/>
      <c r="H59" s="585"/>
      <c r="I59" s="585"/>
      <c r="J59" s="585"/>
      <c r="K59" s="585"/>
      <c r="L59" s="585"/>
      <c r="M59" s="588"/>
    </row>
    <row r="60" spans="1:23" x14ac:dyDescent="0.3">
      <c r="A60" s="589" t="s">
        <v>382</v>
      </c>
      <c r="B60" s="590"/>
      <c r="C60" s="590"/>
      <c r="D60" s="590"/>
      <c r="E60" s="590"/>
      <c r="F60" s="590"/>
      <c r="G60" s="590"/>
      <c r="H60" s="590"/>
      <c r="I60" s="590"/>
      <c r="J60" s="146">
        <f ca="1">J16</f>
        <v>46031.871582060186</v>
      </c>
      <c r="K60" s="128"/>
      <c r="L60" s="133">
        <f ca="1">L16</f>
        <v>46032</v>
      </c>
      <c r="M60" s="154"/>
    </row>
    <row r="61" spans="1:23" x14ac:dyDescent="0.3">
      <c r="A61" s="589" t="s">
        <v>383</v>
      </c>
      <c r="B61" s="590"/>
      <c r="C61" s="590"/>
      <c r="D61" s="590"/>
      <c r="E61" s="590"/>
      <c r="F61" s="590"/>
      <c r="G61" s="590"/>
      <c r="H61" s="590"/>
      <c r="I61" s="590"/>
      <c r="J61" s="590"/>
      <c r="K61" s="590"/>
      <c r="L61" s="590"/>
      <c r="M61" s="591"/>
    </row>
    <row r="62" spans="1:23" x14ac:dyDescent="0.3">
      <c r="A62" s="589" t="s">
        <v>384</v>
      </c>
      <c r="B62" s="590"/>
      <c r="C62" s="590"/>
      <c r="D62" s="590"/>
      <c r="E62" s="590"/>
      <c r="F62" s="590"/>
      <c r="G62" s="590"/>
      <c r="H62" s="590"/>
      <c r="I62" s="590"/>
      <c r="J62" s="590"/>
      <c r="K62" s="590"/>
      <c r="L62" s="590"/>
      <c r="M62" s="591"/>
    </row>
    <row r="63" spans="1:23" x14ac:dyDescent="0.3">
      <c r="A63" s="592" t="str">
        <f>H46</f>
        <v>З. М.</v>
      </c>
      <c r="B63" s="593"/>
      <c r="C63" s="593" t="s">
        <v>385</v>
      </c>
      <c r="D63" s="593"/>
      <c r="E63" s="593"/>
      <c r="F63" s="133">
        <f ca="1">F19</f>
        <v>46031</v>
      </c>
      <c r="G63" s="590" t="s">
        <v>386</v>
      </c>
      <c r="H63" s="590"/>
      <c r="I63" s="590"/>
      <c r="J63" s="590"/>
      <c r="K63" s="590"/>
      <c r="L63" s="590"/>
      <c r="M63" s="591"/>
    </row>
    <row r="64" spans="1:23" x14ac:dyDescent="0.3">
      <c r="A64" s="589" t="s">
        <v>489</v>
      </c>
      <c r="B64" s="590"/>
      <c r="C64" s="590"/>
      <c r="D64" s="590"/>
      <c r="E64" s="590"/>
      <c r="F64" s="590"/>
      <c r="G64" s="590"/>
      <c r="H64" s="590"/>
      <c r="I64" s="590"/>
      <c r="J64" s="590"/>
      <c r="K64" s="590"/>
      <c r="L64" s="590"/>
      <c r="M64" s="591"/>
    </row>
    <row r="65" spans="1:15" x14ac:dyDescent="0.3">
      <c r="A65" s="589" t="s">
        <v>488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1"/>
    </row>
    <row r="66" spans="1:15" x14ac:dyDescent="0.3">
      <c r="A66" s="584" t="s">
        <v>394</v>
      </c>
      <c r="B66" s="585"/>
      <c r="C66" s="306" t="s">
        <v>395</v>
      </c>
      <c r="D66" s="306"/>
      <c r="E66" s="600">
        <f ca="1">'Акт расч'!P49</f>
        <v>-3000</v>
      </c>
      <c r="F66" s="600"/>
      <c r="G66" s="85"/>
      <c r="H66" s="85"/>
      <c r="I66" s="141"/>
      <c r="J66" s="141"/>
      <c r="K66" s="141"/>
      <c r="L66" s="141"/>
      <c r="M66" s="157"/>
      <c r="O66" s="140"/>
    </row>
    <row r="67" spans="1:15" ht="19.5" thickBot="1" x14ac:dyDescent="0.35">
      <c r="A67" s="156"/>
      <c r="B67" s="142"/>
      <c r="C67" s="45"/>
      <c r="D67" s="129"/>
      <c r="E67" s="129"/>
      <c r="F67" s="129"/>
      <c r="G67" s="129"/>
      <c r="H67" s="129"/>
      <c r="I67" s="132"/>
      <c r="J67" s="132"/>
      <c r="K67" s="132"/>
      <c r="L67" s="132"/>
      <c r="M67" s="157"/>
      <c r="O67" s="140"/>
    </row>
    <row r="68" spans="1:15" ht="19.5" thickBot="1" x14ac:dyDescent="0.35">
      <c r="A68" s="594" t="s">
        <v>333</v>
      </c>
      <c r="B68" s="595"/>
      <c r="C68" s="609">
        <f ca="1">F63+1</f>
        <v>46032</v>
      </c>
      <c r="D68" s="610"/>
      <c r="E68" s="595" t="s">
        <v>393</v>
      </c>
      <c r="F68" s="595"/>
      <c r="G68" s="595"/>
      <c r="H68" s="595"/>
      <c r="I68" s="595"/>
      <c r="J68" s="595"/>
      <c r="K68" s="595"/>
      <c r="L68" s="595"/>
      <c r="M68" s="596"/>
    </row>
    <row r="69" spans="1:15" x14ac:dyDescent="0.3">
      <c r="A69" s="151"/>
      <c r="C69" s="133"/>
      <c r="D69" s="128"/>
      <c r="M69" s="131"/>
    </row>
    <row r="70" spans="1:15" x14ac:dyDescent="0.3">
      <c r="A70" s="594" t="s">
        <v>477</v>
      </c>
      <c r="B70" s="595"/>
      <c r="C70" s="595"/>
      <c r="D70" s="595"/>
      <c r="E70" s="595"/>
      <c r="F70" s="595"/>
      <c r="G70" s="595"/>
      <c r="H70" s="595"/>
      <c r="I70" s="595"/>
      <c r="J70" s="595"/>
      <c r="K70" s="595"/>
      <c r="L70" s="595"/>
      <c r="M70" s="596"/>
    </row>
    <row r="71" spans="1:15" x14ac:dyDescent="0.3">
      <c r="A71" s="589" t="s">
        <v>275</v>
      </c>
      <c r="B71" s="590"/>
      <c r="C71" s="590"/>
      <c r="D71" s="590"/>
      <c r="E71" s="590"/>
      <c r="F71" s="590"/>
      <c r="G71" s="590"/>
      <c r="H71" s="590"/>
      <c r="I71" s="590"/>
      <c r="J71" s="590"/>
      <c r="K71" s="590"/>
      <c r="L71" s="590"/>
      <c r="M71" s="591"/>
    </row>
    <row r="72" spans="1:15" x14ac:dyDescent="0.3">
      <c r="A72" s="589" t="s">
        <v>402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1"/>
    </row>
    <row r="73" spans="1:15" x14ac:dyDescent="0.3">
      <c r="A73" s="589" t="s">
        <v>276</v>
      </c>
      <c r="B73" s="590"/>
      <c r="C73" s="590"/>
      <c r="D73" s="590"/>
      <c r="E73" s="590"/>
      <c r="F73" s="590"/>
      <c r="G73" s="590"/>
      <c r="H73" s="590"/>
      <c r="I73" s="590"/>
      <c r="J73" s="590"/>
      <c r="K73" s="590"/>
      <c r="L73" s="590"/>
      <c r="M73" s="591"/>
    </row>
    <row r="74" spans="1:15" x14ac:dyDescent="0.3">
      <c r="A74" s="589" t="s">
        <v>277</v>
      </c>
      <c r="B74" s="590"/>
      <c r="C74" s="590"/>
      <c r="D74" s="590"/>
      <c r="E74" s="590"/>
      <c r="F74" s="590"/>
      <c r="G74" s="590"/>
      <c r="H74" s="590"/>
      <c r="I74" s="590"/>
      <c r="J74" s="590"/>
      <c r="K74" s="590"/>
      <c r="L74" s="590"/>
      <c r="M74" s="591"/>
    </row>
    <row r="75" spans="1:15" x14ac:dyDescent="0.3">
      <c r="A75" s="611" t="s">
        <v>403</v>
      </c>
      <c r="B75" s="61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3"/>
    </row>
    <row r="76" spans="1:15" x14ac:dyDescent="0.3">
      <c r="A76" s="611" t="s">
        <v>531</v>
      </c>
      <c r="B76" s="612"/>
      <c r="C76" s="612"/>
      <c r="D76" s="612"/>
      <c r="E76" s="612"/>
      <c r="F76" s="612"/>
      <c r="G76" s="612"/>
      <c r="H76" s="162"/>
      <c r="I76" s="162"/>
      <c r="J76" s="162"/>
      <c r="K76" s="162"/>
      <c r="L76" s="162"/>
      <c r="M76" s="165"/>
    </row>
    <row r="77" spans="1:15" x14ac:dyDescent="0.3">
      <c r="A77" s="589" t="s">
        <v>792</v>
      </c>
      <c r="B77" s="590"/>
      <c r="C77" s="590"/>
      <c r="D77" s="590"/>
      <c r="E77" s="590"/>
      <c r="F77" s="590"/>
      <c r="G77" s="590"/>
      <c r="H77" s="590"/>
      <c r="I77" s="590"/>
      <c r="J77" s="590"/>
      <c r="K77" s="590"/>
      <c r="L77" s="590"/>
      <c r="M77" s="591"/>
    </row>
    <row r="78" spans="1:15" x14ac:dyDescent="0.3">
      <c r="A78" s="589" t="s">
        <v>397</v>
      </c>
      <c r="B78" s="590"/>
      <c r="C78" s="590"/>
      <c r="D78" s="590"/>
      <c r="E78" s="590"/>
      <c r="F78" s="590"/>
      <c r="G78" s="590"/>
      <c r="H78" s="590"/>
      <c r="I78" s="590"/>
      <c r="J78" s="590"/>
      <c r="K78" s="590"/>
      <c r="L78" s="590"/>
      <c r="M78" s="591"/>
    </row>
    <row r="79" spans="1:15" x14ac:dyDescent="0.3">
      <c r="A79" s="589" t="s">
        <v>399</v>
      </c>
      <c r="B79" s="590"/>
      <c r="C79" s="590"/>
      <c r="D79" s="590"/>
      <c r="E79" s="590"/>
      <c r="F79" s="590"/>
      <c r="G79" s="590"/>
      <c r="H79" s="590"/>
      <c r="I79" s="590"/>
      <c r="J79" s="590"/>
      <c r="K79" s="590"/>
      <c r="L79" s="590"/>
      <c r="M79" s="591"/>
    </row>
    <row r="80" spans="1:15" x14ac:dyDescent="0.3">
      <c r="A80" s="589" t="s">
        <v>429</v>
      </c>
      <c r="B80" s="590"/>
      <c r="C80" s="590"/>
      <c r="D80" s="590"/>
      <c r="E80" s="590"/>
      <c r="F80" s="590"/>
      <c r="G80" s="590"/>
      <c r="H80" s="590"/>
      <c r="I80" s="590"/>
      <c r="J80" s="590"/>
      <c r="K80" s="590"/>
      <c r="L80" s="590"/>
      <c r="M80" s="591"/>
    </row>
    <row r="81" spans="1:13" x14ac:dyDescent="0.3">
      <c r="A81" s="589" t="s">
        <v>404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1"/>
    </row>
    <row r="82" spans="1:13" x14ac:dyDescent="0.3">
      <c r="A82" s="594" t="s">
        <v>405</v>
      </c>
      <c r="B82" s="595"/>
      <c r="C82" s="595"/>
      <c r="D82" s="595"/>
      <c r="E82" s="595"/>
      <c r="F82" s="595"/>
      <c r="G82" s="595"/>
      <c r="H82" s="595"/>
      <c r="I82" s="595"/>
      <c r="J82" s="595"/>
      <c r="K82" s="595"/>
      <c r="L82" s="595"/>
      <c r="M82" s="596"/>
    </row>
    <row r="83" spans="1:13" x14ac:dyDescent="0.3">
      <c r="A83" s="151"/>
      <c r="C83" s="130"/>
      <c r="D83" s="129"/>
      <c r="E83" s="85"/>
      <c r="F83" s="85"/>
      <c r="G83" s="85"/>
      <c r="H83" s="85"/>
      <c r="I83" s="85"/>
      <c r="J83" s="85"/>
      <c r="K83" s="85"/>
      <c r="L83" s="85"/>
      <c r="M83" s="147"/>
    </row>
    <row r="84" spans="1:13" x14ac:dyDescent="0.3">
      <c r="A84" s="601" t="s">
        <v>400</v>
      </c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608"/>
    </row>
    <row r="85" spans="1:13" x14ac:dyDescent="0.3">
      <c r="A85" s="163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64"/>
    </row>
    <row r="86" spans="1:13" x14ac:dyDescent="0.3">
      <c r="A86" s="151"/>
      <c r="C86" s="133"/>
      <c r="D86" s="128"/>
      <c r="M86" s="131"/>
    </row>
    <row r="87" spans="1:13" x14ac:dyDescent="0.3">
      <c r="A87" s="151"/>
      <c r="M87" s="131"/>
    </row>
    <row r="88" spans="1:13" x14ac:dyDescent="0.3">
      <c r="A88" s="151"/>
      <c r="B88" s="127" t="s">
        <v>78</v>
      </c>
      <c r="C88" s="604">
        <f ca="1">F63</f>
        <v>46031</v>
      </c>
      <c r="D88" s="605"/>
      <c r="G88" s="306" t="str">
        <f>G40</f>
        <v>З. М.</v>
      </c>
      <c r="H88" s="306"/>
      <c r="I88" s="306"/>
      <c r="J88" s="606"/>
      <c r="K88" s="606"/>
      <c r="L88" s="606"/>
      <c r="M88" s="607"/>
    </row>
    <row r="89" spans="1:13" x14ac:dyDescent="0.3">
      <c r="A89" s="151"/>
      <c r="J89" s="586" t="s">
        <v>335</v>
      </c>
      <c r="K89" s="586"/>
      <c r="L89" s="586"/>
      <c r="M89" s="587"/>
    </row>
    <row r="90" spans="1:13" x14ac:dyDescent="0.3">
      <c r="A90" s="151"/>
      <c r="M90" s="131"/>
    </row>
    <row r="91" spans="1:13" x14ac:dyDescent="0.3">
      <c r="A91" s="151"/>
      <c r="M91" s="131"/>
    </row>
    <row r="92" spans="1:13" ht="19.5" thickBot="1" x14ac:dyDescent="0.35">
      <c r="A92" s="158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60"/>
    </row>
    <row r="93" spans="1:13" x14ac:dyDescent="0.3">
      <c r="A93" s="148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50">
        <v>3</v>
      </c>
    </row>
    <row r="94" spans="1:13" x14ac:dyDescent="0.3">
      <c r="A94" s="151"/>
      <c r="H94" s="565" t="str">
        <f>H2</f>
        <v>З. М.</v>
      </c>
      <c r="I94" s="565"/>
      <c r="J94" s="565"/>
      <c r="K94" s="565"/>
      <c r="L94" s="565"/>
      <c r="M94" s="566"/>
    </row>
    <row r="95" spans="1:13" x14ac:dyDescent="0.3">
      <c r="A95" s="151"/>
      <c r="J95" s="565" t="s">
        <v>336</v>
      </c>
      <c r="K95" s="565"/>
      <c r="L95" s="565"/>
      <c r="M95" s="566"/>
    </row>
    <row r="96" spans="1:13" ht="19.5" thickBot="1" x14ac:dyDescent="0.35">
      <c r="A96" s="151"/>
      <c r="J96" s="576" t="str">
        <f>J48</f>
        <v>+996 (552) 727 607</v>
      </c>
      <c r="K96" s="576"/>
      <c r="L96" s="576"/>
      <c r="M96" s="577"/>
    </row>
    <row r="97" spans="1:23" x14ac:dyDescent="0.3">
      <c r="A97" s="151"/>
      <c r="J97" s="565" t="s">
        <v>337</v>
      </c>
      <c r="K97" s="565"/>
      <c r="L97" s="565"/>
      <c r="M97" s="566"/>
      <c r="O97" s="567" t="str">
        <f>O49</f>
        <v>Взяли оборудование не оплатили арендную платы и не вернули оборудование</v>
      </c>
      <c r="P97" s="568"/>
      <c r="Q97" s="568"/>
      <c r="R97" s="568"/>
      <c r="S97" s="568"/>
      <c r="T97" s="568"/>
      <c r="U97" s="568"/>
      <c r="V97" s="568"/>
      <c r="W97" s="569"/>
    </row>
    <row r="98" spans="1:23" x14ac:dyDescent="0.3">
      <c r="A98" s="151"/>
      <c r="M98" s="131"/>
      <c r="O98" s="570"/>
      <c r="P98" s="571"/>
      <c r="Q98" s="571"/>
      <c r="R98" s="571"/>
      <c r="S98" s="571"/>
      <c r="T98" s="571"/>
      <c r="U98" s="571"/>
      <c r="V98" s="571"/>
      <c r="W98" s="572"/>
    </row>
    <row r="99" spans="1:23" x14ac:dyDescent="0.3">
      <c r="A99" s="151"/>
      <c r="M99" s="131"/>
      <c r="O99" s="570"/>
      <c r="P99" s="571"/>
      <c r="Q99" s="571"/>
      <c r="R99" s="571"/>
      <c r="S99" s="571"/>
      <c r="T99" s="571"/>
      <c r="U99" s="571"/>
      <c r="V99" s="571"/>
      <c r="W99" s="572"/>
    </row>
    <row r="100" spans="1:23" ht="19.5" thickBot="1" x14ac:dyDescent="0.35">
      <c r="A100" s="151"/>
      <c r="M100" s="131"/>
      <c r="O100" s="573"/>
      <c r="P100" s="574"/>
      <c r="Q100" s="574"/>
      <c r="R100" s="574"/>
      <c r="S100" s="574"/>
      <c r="T100" s="574"/>
      <c r="U100" s="574"/>
      <c r="V100" s="574"/>
      <c r="W100" s="575"/>
    </row>
    <row r="101" spans="1:23" ht="32.25" thickBot="1" x14ac:dyDescent="0.55000000000000004">
      <c r="A101" s="578" t="s">
        <v>406</v>
      </c>
      <c r="B101" s="579"/>
      <c r="C101" s="579"/>
      <c r="D101" s="579"/>
      <c r="E101" s="579"/>
      <c r="F101" s="579"/>
      <c r="G101" s="579"/>
      <c r="H101" s="579"/>
      <c r="I101" s="579"/>
      <c r="J101" s="579"/>
      <c r="K101" s="579"/>
      <c r="L101" s="579"/>
      <c r="M101" s="580"/>
    </row>
    <row r="102" spans="1:23" x14ac:dyDescent="0.3">
      <c r="A102" s="151"/>
      <c r="M102" s="131"/>
    </row>
    <row r="103" spans="1:23" x14ac:dyDescent="0.3">
      <c r="A103" s="152"/>
      <c r="B103" s="134"/>
      <c r="C103" s="134"/>
      <c r="D103" s="582" t="s">
        <v>332</v>
      </c>
      <c r="E103" s="582"/>
      <c r="F103" s="583" t="str">
        <f>Дог.!$A$18</f>
        <v>ХХХХ ХХХХ ХХХХ</v>
      </c>
      <c r="G103" s="583"/>
      <c r="H103" s="583"/>
      <c r="I103" s="583"/>
      <c r="J103" s="583"/>
      <c r="K103" s="134"/>
      <c r="L103" s="124" t="str">
        <f>L55</f>
        <v>ХХХХХ</v>
      </c>
      <c r="M103" s="153" t="s">
        <v>254</v>
      </c>
    </row>
    <row r="104" spans="1:23" ht="19.5" thickBot="1" x14ac:dyDescent="0.35">
      <c r="A104" s="151"/>
      <c r="M104" s="131"/>
    </row>
    <row r="105" spans="1:23" ht="19.5" thickBot="1" x14ac:dyDescent="0.35">
      <c r="A105" s="584" t="s">
        <v>343</v>
      </c>
      <c r="B105" s="585"/>
      <c r="C105" s="585"/>
      <c r="D105" s="585"/>
      <c r="E105" s="585"/>
      <c r="F105" s="585"/>
      <c r="G105" s="125">
        <f ca="1">G57</f>
        <v>9</v>
      </c>
      <c r="H105" s="126">
        <f ca="1">H57</f>
        <v>1</v>
      </c>
      <c r="I105" s="126">
        <f ca="1">I57</f>
        <v>2026</v>
      </c>
      <c r="J105" s="231">
        <f ca="1">J57</f>
        <v>46031.871582060186</v>
      </c>
      <c r="K105" s="128" t="s">
        <v>256</v>
      </c>
      <c r="L105" s="133">
        <f ca="1">L57</f>
        <v>46031</v>
      </c>
      <c r="M105" s="131"/>
    </row>
    <row r="106" spans="1:23" x14ac:dyDescent="0.3">
      <c r="A106" s="584" t="s">
        <v>364</v>
      </c>
      <c r="B106" s="585"/>
      <c r="C106" s="585"/>
      <c r="D106" s="585"/>
      <c r="E106" s="585"/>
      <c r="F106" s="585"/>
      <c r="G106" s="585"/>
      <c r="H106" s="585"/>
      <c r="I106" s="585"/>
      <c r="J106" s="585"/>
      <c r="K106" s="585"/>
      <c r="L106" s="585"/>
      <c r="M106" s="588"/>
    </row>
    <row r="107" spans="1:23" x14ac:dyDescent="0.3">
      <c r="A107" s="584" t="s">
        <v>478</v>
      </c>
      <c r="B107" s="585"/>
      <c r="C107" s="585"/>
      <c r="D107" s="585"/>
      <c r="E107" s="585"/>
      <c r="F107" s="585"/>
      <c r="G107" s="585"/>
      <c r="H107" s="585"/>
      <c r="I107" s="585"/>
      <c r="J107" s="585"/>
      <c r="K107" s="585"/>
      <c r="L107" s="585"/>
      <c r="M107" s="588"/>
    </row>
    <row r="108" spans="1:23" x14ac:dyDescent="0.3">
      <c r="A108" s="589" t="s">
        <v>382</v>
      </c>
      <c r="B108" s="590"/>
      <c r="C108" s="590"/>
      <c r="D108" s="590"/>
      <c r="E108" s="590"/>
      <c r="F108" s="590"/>
      <c r="G108" s="590"/>
      <c r="H108" s="590"/>
      <c r="I108" s="590"/>
      <c r="J108" s="146">
        <f ca="1">J60</f>
        <v>46031.871582060186</v>
      </c>
      <c r="K108" s="128"/>
      <c r="L108" s="133">
        <f ca="1">L60</f>
        <v>46032</v>
      </c>
      <c r="M108" s="154"/>
    </row>
    <row r="109" spans="1:23" x14ac:dyDescent="0.3">
      <c r="A109" s="589" t="s">
        <v>383</v>
      </c>
      <c r="B109" s="590"/>
      <c r="C109" s="590"/>
      <c r="D109" s="590"/>
      <c r="E109" s="590"/>
      <c r="F109" s="590"/>
      <c r="G109" s="590"/>
      <c r="H109" s="590"/>
      <c r="I109" s="590"/>
      <c r="J109" s="590"/>
      <c r="K109" s="590"/>
      <c r="L109" s="590"/>
      <c r="M109" s="591"/>
    </row>
    <row r="110" spans="1:23" x14ac:dyDescent="0.3">
      <c r="A110" s="589" t="s">
        <v>384</v>
      </c>
      <c r="B110" s="590"/>
      <c r="C110" s="590"/>
      <c r="D110" s="590"/>
      <c r="E110" s="590"/>
      <c r="F110" s="590"/>
      <c r="G110" s="590"/>
      <c r="H110" s="590"/>
      <c r="I110" s="590"/>
      <c r="J110" s="590"/>
      <c r="K110" s="590"/>
      <c r="L110" s="590"/>
      <c r="M110" s="591"/>
    </row>
    <row r="111" spans="1:23" x14ac:dyDescent="0.3">
      <c r="A111" s="592" t="str">
        <f>H94</f>
        <v>З. М.</v>
      </c>
      <c r="B111" s="593"/>
      <c r="C111" s="593" t="s">
        <v>385</v>
      </c>
      <c r="D111" s="593"/>
      <c r="E111" s="593"/>
      <c r="F111" s="133">
        <f ca="1">F63</f>
        <v>46031</v>
      </c>
      <c r="G111" s="590" t="s">
        <v>408</v>
      </c>
      <c r="H111" s="590"/>
      <c r="I111" s="590"/>
      <c r="J111" s="590"/>
      <c r="K111" s="590"/>
      <c r="L111" s="590"/>
      <c r="M111" s="591"/>
    </row>
    <row r="112" spans="1:23" x14ac:dyDescent="0.3">
      <c r="A112" s="589" t="s">
        <v>407</v>
      </c>
      <c r="B112" s="590"/>
      <c r="C112" s="590"/>
      <c r="D112" s="590"/>
      <c r="E112" s="590"/>
      <c r="F112" s="590"/>
      <c r="G112" s="590"/>
      <c r="H112" s="590"/>
      <c r="I112" s="590"/>
      <c r="J112" s="590"/>
      <c r="K112" s="590"/>
      <c r="L112" s="590"/>
      <c r="M112" s="591"/>
    </row>
    <row r="113" spans="1:13" x14ac:dyDescent="0.3">
      <c r="A113" s="589" t="s">
        <v>411</v>
      </c>
      <c r="B113" s="590"/>
      <c r="C113" s="600">
        <f ca="1">'Акт расч'!P49</f>
        <v>-3000</v>
      </c>
      <c r="D113" s="600"/>
      <c r="E113" s="143"/>
      <c r="F113" s="143"/>
      <c r="G113" s="143"/>
      <c r="H113" s="143"/>
      <c r="I113" s="143"/>
      <c r="J113" s="143"/>
      <c r="K113" s="143"/>
      <c r="L113" s="143"/>
      <c r="M113" s="161"/>
    </row>
    <row r="114" spans="1:13" x14ac:dyDescent="0.3">
      <c r="A114" s="589" t="s">
        <v>409</v>
      </c>
      <c r="B114" s="590"/>
      <c r="C114" s="590"/>
      <c r="D114" s="590"/>
      <c r="E114" s="590"/>
      <c r="F114" s="590"/>
      <c r="G114" s="590"/>
      <c r="H114" s="590"/>
      <c r="I114" s="590"/>
      <c r="J114" s="590"/>
      <c r="K114" s="590"/>
      <c r="L114" s="590"/>
      <c r="M114" s="591"/>
    </row>
    <row r="115" spans="1:13" x14ac:dyDescent="0.3">
      <c r="A115" s="584" t="s">
        <v>410</v>
      </c>
      <c r="B115" s="585"/>
      <c r="C115" s="585"/>
      <c r="D115" s="585"/>
      <c r="E115" s="585"/>
      <c r="F115" s="585"/>
      <c r="G115" s="585"/>
      <c r="H115" s="585"/>
      <c r="I115" s="585"/>
      <c r="J115" s="585"/>
      <c r="K115" s="585"/>
      <c r="L115" s="585"/>
      <c r="M115" s="588"/>
    </row>
    <row r="116" spans="1:13" ht="28.5" x14ac:dyDescent="0.45">
      <c r="A116" s="614" t="s">
        <v>423</v>
      </c>
      <c r="B116" s="615"/>
      <c r="C116" s="615"/>
      <c r="D116" s="615"/>
      <c r="E116" s="615"/>
      <c r="F116" s="615"/>
      <c r="G116" s="615"/>
      <c r="H116" s="615"/>
      <c r="I116" s="615"/>
      <c r="J116" s="615"/>
      <c r="K116" s="615"/>
      <c r="L116" s="615"/>
      <c r="M116" s="616"/>
    </row>
    <row r="117" spans="1:13" x14ac:dyDescent="0.3">
      <c r="A117" s="584" t="s">
        <v>482</v>
      </c>
      <c r="B117" s="585"/>
      <c r="C117" s="585"/>
      <c r="D117" s="585"/>
      <c r="E117" s="585"/>
      <c r="F117" s="585"/>
      <c r="G117" s="585"/>
      <c r="H117" s="585"/>
      <c r="I117" s="585"/>
      <c r="J117" s="585"/>
      <c r="K117" s="585"/>
      <c r="L117" s="585"/>
      <c r="M117" s="588"/>
    </row>
    <row r="118" spans="1:13" x14ac:dyDescent="0.3">
      <c r="A118" s="584" t="s">
        <v>480</v>
      </c>
      <c r="B118" s="585"/>
      <c r="C118" s="585"/>
      <c r="D118" s="585"/>
      <c r="E118" s="585"/>
      <c r="F118" s="585"/>
      <c r="G118" s="585"/>
      <c r="H118" s="585"/>
      <c r="I118" s="585"/>
      <c r="J118" s="585"/>
      <c r="K118" s="585"/>
      <c r="L118" s="585"/>
      <c r="M118" s="588"/>
    </row>
    <row r="119" spans="1:13" x14ac:dyDescent="0.3">
      <c r="A119" s="584" t="s">
        <v>481</v>
      </c>
      <c r="B119" s="585"/>
      <c r="C119" s="585"/>
      <c r="D119" s="585"/>
      <c r="E119" s="585"/>
      <c r="F119" s="585"/>
      <c r="G119" s="585"/>
      <c r="H119" s="585"/>
      <c r="I119" s="585"/>
      <c r="J119" s="585"/>
      <c r="K119" s="585"/>
      <c r="L119" s="585"/>
      <c r="M119" s="588"/>
    </row>
    <row r="120" spans="1:13" x14ac:dyDescent="0.3">
      <c r="A120" s="584" t="s">
        <v>339</v>
      </c>
      <c r="B120" s="585"/>
      <c r="C120" s="585"/>
      <c r="D120" s="585"/>
      <c r="E120" s="585"/>
      <c r="F120" s="585"/>
      <c r="G120" s="585"/>
      <c r="H120" s="585"/>
      <c r="I120" s="585"/>
      <c r="J120" s="585"/>
      <c r="K120" s="585"/>
      <c r="L120" s="585"/>
      <c r="M120" s="588"/>
    </row>
    <row r="121" spans="1:13" x14ac:dyDescent="0.3">
      <c r="A121" s="584" t="s">
        <v>340</v>
      </c>
      <c r="B121" s="585"/>
      <c r="C121" s="585"/>
      <c r="D121" s="585"/>
      <c r="E121" s="585"/>
      <c r="F121" s="585"/>
      <c r="G121" s="585"/>
      <c r="H121" s="585"/>
      <c r="I121" s="585"/>
      <c r="J121" s="585"/>
      <c r="K121" s="585"/>
      <c r="L121" s="585"/>
      <c r="M121" s="588"/>
    </row>
    <row r="122" spans="1:13" x14ac:dyDescent="0.3">
      <c r="A122" s="597" t="s">
        <v>344</v>
      </c>
      <c r="B122" s="598"/>
      <c r="C122" s="598"/>
      <c r="D122" s="598"/>
      <c r="E122" s="598"/>
      <c r="F122" s="598"/>
      <c r="G122" s="598"/>
      <c r="H122" s="598"/>
      <c r="I122" s="598"/>
      <c r="J122" s="598"/>
      <c r="K122" s="598"/>
      <c r="L122" s="598"/>
      <c r="M122" s="599"/>
    </row>
    <row r="123" spans="1:13" x14ac:dyDescent="0.3">
      <c r="A123" s="597" t="s">
        <v>347</v>
      </c>
      <c r="B123" s="598"/>
      <c r="C123" s="598"/>
      <c r="D123" s="598"/>
      <c r="E123" s="598"/>
      <c r="F123" s="598"/>
      <c r="G123" s="598"/>
      <c r="H123" s="598"/>
      <c r="I123" s="598"/>
      <c r="J123" s="598"/>
      <c r="K123" s="598"/>
      <c r="L123" s="598"/>
      <c r="M123" s="599"/>
    </row>
    <row r="124" spans="1:13" x14ac:dyDescent="0.3">
      <c r="A124" s="597" t="s">
        <v>345</v>
      </c>
      <c r="B124" s="598"/>
      <c r="C124" s="598"/>
      <c r="D124" s="598"/>
      <c r="E124" s="598"/>
      <c r="F124" s="598"/>
      <c r="G124" s="598"/>
      <c r="H124" s="598"/>
      <c r="I124" s="598"/>
      <c r="J124" s="598"/>
      <c r="K124" s="598"/>
      <c r="L124" s="598"/>
      <c r="M124" s="599"/>
    </row>
    <row r="125" spans="1:13" x14ac:dyDescent="0.3">
      <c r="A125" s="597" t="s">
        <v>346</v>
      </c>
      <c r="B125" s="598"/>
      <c r="C125" s="598"/>
      <c r="D125" s="598"/>
      <c r="E125" s="598"/>
      <c r="F125" s="598"/>
      <c r="G125" s="598"/>
      <c r="H125" s="598"/>
      <c r="I125" s="598"/>
      <c r="J125" s="598"/>
      <c r="K125" s="598"/>
      <c r="L125" s="598"/>
      <c r="M125" s="599"/>
    </row>
    <row r="126" spans="1:13" x14ac:dyDescent="0.3">
      <c r="A126" s="594" t="s">
        <v>479</v>
      </c>
      <c r="B126" s="595"/>
      <c r="C126" s="595"/>
      <c r="D126" s="595"/>
      <c r="E126" s="595"/>
      <c r="F126" s="595"/>
      <c r="G126" s="595"/>
      <c r="H126" s="595"/>
      <c r="I126" s="595"/>
      <c r="J126" s="595"/>
      <c r="K126" s="595"/>
      <c r="L126" s="595"/>
      <c r="M126" s="596"/>
    </row>
    <row r="127" spans="1:13" x14ac:dyDescent="0.3">
      <c r="A127" s="594" t="s">
        <v>412</v>
      </c>
      <c r="B127" s="595"/>
      <c r="C127" s="595"/>
      <c r="D127" s="595"/>
      <c r="E127" s="595"/>
      <c r="F127" s="595"/>
      <c r="G127" s="595"/>
      <c r="H127" s="595"/>
      <c r="I127" s="595"/>
      <c r="J127" s="595"/>
      <c r="K127" s="595"/>
      <c r="L127" s="595"/>
      <c r="M127" s="596"/>
    </row>
    <row r="128" spans="1:13" x14ac:dyDescent="0.3">
      <c r="A128" s="594" t="s">
        <v>414</v>
      </c>
      <c r="B128" s="595"/>
      <c r="C128" s="595"/>
      <c r="D128" s="595"/>
      <c r="E128" s="595"/>
      <c r="F128" s="595"/>
      <c r="G128" s="595"/>
      <c r="H128" s="595"/>
      <c r="I128" s="595"/>
      <c r="J128" s="595"/>
      <c r="K128" s="595"/>
      <c r="L128" s="595"/>
      <c r="M128" s="596"/>
    </row>
    <row r="129" spans="1:13" x14ac:dyDescent="0.3">
      <c r="A129" s="594" t="s">
        <v>413</v>
      </c>
      <c r="B129" s="595"/>
      <c r="C129" s="595"/>
      <c r="D129" s="595"/>
      <c r="E129" s="595"/>
      <c r="F129" s="595"/>
      <c r="G129" s="595"/>
      <c r="H129" s="595"/>
      <c r="I129" s="595"/>
      <c r="J129" s="595"/>
      <c r="K129" s="595"/>
      <c r="L129" s="595"/>
      <c r="M129" s="596"/>
    </row>
    <row r="130" spans="1:13" x14ac:dyDescent="0.3">
      <c r="A130" s="584" t="s">
        <v>548</v>
      </c>
      <c r="B130" s="585"/>
      <c r="C130" s="585"/>
      <c r="D130" s="585"/>
      <c r="E130" s="585"/>
      <c r="F130" s="585"/>
      <c r="G130" s="585"/>
      <c r="H130" s="585"/>
      <c r="I130" s="585"/>
      <c r="J130" s="585"/>
      <c r="K130" s="585"/>
      <c r="L130" s="585"/>
      <c r="M130" s="588"/>
    </row>
    <row r="131" spans="1:13" x14ac:dyDescent="0.3">
      <c r="A131" s="584" t="s">
        <v>549</v>
      </c>
      <c r="B131" s="585"/>
      <c r="C131" s="585"/>
      <c r="D131" s="585"/>
      <c r="E131" s="585"/>
      <c r="F131" s="585"/>
      <c r="G131" s="585"/>
      <c r="H131" s="585"/>
      <c r="I131" s="585"/>
      <c r="J131" s="585"/>
      <c r="K131" s="585"/>
      <c r="L131" s="585"/>
      <c r="M131" s="588"/>
    </row>
    <row r="132" spans="1:13" x14ac:dyDescent="0.3">
      <c r="A132" s="597" t="s">
        <v>348</v>
      </c>
      <c r="B132" s="598"/>
      <c r="C132" s="598"/>
      <c r="D132" s="598"/>
      <c r="E132" s="598"/>
      <c r="F132" s="598"/>
      <c r="G132" s="598"/>
      <c r="H132" s="598"/>
      <c r="I132" s="598"/>
      <c r="J132" s="598"/>
      <c r="K132" s="598"/>
      <c r="L132" s="598"/>
      <c r="M132" s="599"/>
    </row>
    <row r="133" spans="1:13" x14ac:dyDescent="0.3">
      <c r="A133" s="597" t="s">
        <v>416</v>
      </c>
      <c r="B133" s="598"/>
      <c r="C133" s="598"/>
      <c r="D133" s="598"/>
      <c r="E133" s="598"/>
      <c r="F133" s="598"/>
      <c r="G133" s="598"/>
      <c r="H133" s="598"/>
      <c r="I133" s="598"/>
      <c r="J133" s="598"/>
      <c r="K133" s="598"/>
      <c r="L133" s="598"/>
      <c r="M133" s="599"/>
    </row>
    <row r="134" spans="1:13" x14ac:dyDescent="0.3">
      <c r="A134" s="597" t="s">
        <v>417</v>
      </c>
      <c r="B134" s="598"/>
      <c r="C134" s="598"/>
      <c r="D134" s="598"/>
      <c r="E134" s="598"/>
      <c r="F134" s="598"/>
      <c r="G134" s="598"/>
      <c r="H134" s="598"/>
      <c r="I134" s="598"/>
      <c r="J134" s="598"/>
      <c r="K134" s="598"/>
      <c r="L134" s="598"/>
      <c r="M134" s="599"/>
    </row>
    <row r="135" spans="1:13" x14ac:dyDescent="0.3">
      <c r="A135" s="584" t="s">
        <v>487</v>
      </c>
      <c r="B135" s="585"/>
      <c r="C135" s="585"/>
      <c r="D135" s="585"/>
      <c r="E135" s="585"/>
      <c r="F135" s="585"/>
      <c r="G135" s="585"/>
      <c r="H135" s="585"/>
      <c r="I135" s="585"/>
      <c r="J135" s="585"/>
      <c r="K135" s="585"/>
      <c r="L135" s="585"/>
      <c r="M135" s="588"/>
    </row>
    <row r="136" spans="1:13" x14ac:dyDescent="0.3">
      <c r="A136" s="584" t="s">
        <v>422</v>
      </c>
      <c r="B136" s="585"/>
      <c r="C136" s="585"/>
      <c r="D136" s="585"/>
      <c r="E136" s="585"/>
      <c r="F136" s="585"/>
      <c r="G136" s="585"/>
      <c r="H136" s="585"/>
      <c r="I136" s="585"/>
      <c r="J136" s="585"/>
      <c r="K136" s="585"/>
      <c r="L136" s="585"/>
      <c r="M136" s="588"/>
    </row>
    <row r="137" spans="1:13" x14ac:dyDescent="0.3">
      <c r="A137" s="584" t="s">
        <v>486</v>
      </c>
      <c r="B137" s="585"/>
      <c r="C137" s="585"/>
      <c r="D137" s="585"/>
      <c r="E137" s="585"/>
      <c r="F137" s="585"/>
      <c r="G137" s="585"/>
      <c r="H137" s="585"/>
      <c r="I137" s="585"/>
      <c r="J137" s="585"/>
      <c r="K137" s="585"/>
      <c r="L137" s="585"/>
      <c r="M137" s="588"/>
    </row>
    <row r="138" spans="1:13" x14ac:dyDescent="0.3">
      <c r="A138" s="594" t="s">
        <v>418</v>
      </c>
      <c r="B138" s="595"/>
      <c r="C138" s="595"/>
      <c r="D138" s="595"/>
      <c r="E138" s="595"/>
      <c r="F138" s="595"/>
      <c r="G138" s="595"/>
      <c r="H138" s="595"/>
      <c r="I138" s="595"/>
      <c r="J138" s="595"/>
      <c r="K138" s="595"/>
      <c r="L138" s="595"/>
      <c r="M138" s="596"/>
    </row>
    <row r="139" spans="1:13" x14ac:dyDescent="0.3">
      <c r="A139" s="594" t="s">
        <v>476</v>
      </c>
      <c r="B139" s="595"/>
      <c r="C139" s="595"/>
      <c r="D139" s="595"/>
      <c r="E139" s="595"/>
      <c r="F139" s="595"/>
      <c r="G139" s="595"/>
      <c r="H139" s="595"/>
      <c r="I139" s="595"/>
      <c r="J139" s="595"/>
      <c r="K139" s="595"/>
      <c r="L139" s="595"/>
      <c r="M139" s="596"/>
    </row>
    <row r="140" spans="1:13" x14ac:dyDescent="0.3">
      <c r="A140" s="597" t="s">
        <v>483</v>
      </c>
      <c r="B140" s="598"/>
      <c r="C140" s="598"/>
      <c r="D140" s="598"/>
      <c r="E140" s="598"/>
      <c r="F140" s="598"/>
      <c r="G140" s="598"/>
      <c r="H140" s="598"/>
      <c r="I140" s="598"/>
      <c r="J140" s="598"/>
      <c r="K140" s="598"/>
      <c r="L140" s="598"/>
      <c r="M140" s="599"/>
    </row>
    <row r="141" spans="1:13" x14ac:dyDescent="0.3">
      <c r="A141" s="597" t="s">
        <v>421</v>
      </c>
      <c r="B141" s="598"/>
      <c r="C141" s="598"/>
      <c r="D141" s="598"/>
      <c r="E141" s="598"/>
      <c r="F141" s="598"/>
      <c r="G141" s="598"/>
      <c r="H141" s="598"/>
      <c r="I141" s="598"/>
      <c r="J141" s="598"/>
      <c r="K141" s="598"/>
      <c r="L141" s="598"/>
      <c r="M141" s="599"/>
    </row>
    <row r="142" spans="1:13" x14ac:dyDescent="0.3">
      <c r="A142" s="622" t="s">
        <v>484</v>
      </c>
      <c r="B142" s="598"/>
      <c r="C142" s="598"/>
      <c r="D142" s="598"/>
      <c r="E142" s="598"/>
      <c r="F142" s="598"/>
      <c r="G142" s="598"/>
      <c r="H142" s="598"/>
      <c r="I142" s="598"/>
      <c r="J142" s="598"/>
      <c r="K142" s="598"/>
      <c r="L142" s="598"/>
      <c r="M142" s="599"/>
    </row>
    <row r="143" spans="1:13" x14ac:dyDescent="0.3">
      <c r="A143" s="597" t="s">
        <v>419</v>
      </c>
      <c r="B143" s="598"/>
      <c r="C143" s="598"/>
      <c r="D143" s="598"/>
      <c r="E143" s="598"/>
      <c r="F143" s="598"/>
      <c r="G143" s="598"/>
      <c r="H143" s="598"/>
      <c r="I143" s="598"/>
      <c r="J143" s="598"/>
      <c r="K143" s="598"/>
      <c r="L143" s="598"/>
      <c r="M143" s="599"/>
    </row>
    <row r="144" spans="1:13" x14ac:dyDescent="0.3">
      <c r="A144" s="622" t="s">
        <v>485</v>
      </c>
      <c r="B144" s="598"/>
      <c r="C144" s="598"/>
      <c r="D144" s="598"/>
      <c r="E144" s="598"/>
      <c r="F144" s="598"/>
      <c r="G144" s="598"/>
      <c r="H144" s="598"/>
      <c r="I144" s="598"/>
      <c r="J144" s="598"/>
      <c r="K144" s="598"/>
      <c r="L144" s="598"/>
      <c r="M144" s="599"/>
    </row>
    <row r="145" spans="1:13" x14ac:dyDescent="0.3">
      <c r="A145" s="597" t="s">
        <v>420</v>
      </c>
      <c r="B145" s="598"/>
      <c r="C145" s="598"/>
      <c r="D145" s="598"/>
      <c r="E145" s="598"/>
      <c r="F145" s="598"/>
      <c r="G145" s="598"/>
      <c r="H145" s="598"/>
      <c r="I145" s="598"/>
      <c r="J145" s="598"/>
      <c r="K145" s="598"/>
      <c r="L145" s="598"/>
      <c r="M145" s="599"/>
    </row>
    <row r="146" spans="1:13" x14ac:dyDescent="0.3">
      <c r="A146" s="594" t="s">
        <v>475</v>
      </c>
      <c r="B146" s="595"/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6"/>
    </row>
    <row r="147" spans="1:13" x14ac:dyDescent="0.3">
      <c r="A147" s="584"/>
      <c r="B147" s="585"/>
      <c r="C147" s="585"/>
      <c r="D147" s="585"/>
      <c r="E147" s="585"/>
      <c r="F147" s="585"/>
      <c r="G147" s="585"/>
      <c r="H147" s="585"/>
      <c r="I147" s="585"/>
      <c r="J147" s="585"/>
      <c r="K147" s="585"/>
      <c r="L147" s="585"/>
      <c r="M147" s="588"/>
    </row>
    <row r="148" spans="1:13" ht="21" x14ac:dyDescent="0.35">
      <c r="A148" s="617" t="s">
        <v>424</v>
      </c>
      <c r="B148" s="366"/>
      <c r="C148" s="366"/>
      <c r="D148" s="366"/>
      <c r="E148" s="366"/>
      <c r="F148" s="366"/>
      <c r="G148" s="366"/>
      <c r="H148" s="366"/>
      <c r="I148" s="366"/>
      <c r="J148" s="366"/>
      <c r="K148" s="366"/>
      <c r="L148" s="366"/>
      <c r="M148" s="618"/>
    </row>
    <row r="149" spans="1:13" ht="21" x14ac:dyDescent="0.35">
      <c r="A149" s="617" t="s">
        <v>341</v>
      </c>
      <c r="B149" s="366"/>
      <c r="C149" s="366"/>
      <c r="D149" s="366"/>
      <c r="E149" s="366"/>
      <c r="F149" s="366"/>
      <c r="G149" s="619" t="str">
        <f>Дог.!M7</f>
        <v>+996 (552) 727 607</v>
      </c>
      <c r="H149" s="619"/>
      <c r="I149" s="620" t="s">
        <v>550</v>
      </c>
      <c r="J149" s="620"/>
      <c r="K149" s="620"/>
      <c r="L149" s="620"/>
      <c r="M149" s="621"/>
    </row>
    <row r="150" spans="1:13" ht="21" x14ac:dyDescent="0.35">
      <c r="A150" s="617" t="s">
        <v>551</v>
      </c>
      <c r="B150" s="366"/>
      <c r="C150" s="366"/>
      <c r="D150" s="366"/>
      <c r="E150" s="366"/>
      <c r="F150" s="366"/>
      <c r="G150" s="366"/>
      <c r="H150" s="366"/>
      <c r="I150" s="366"/>
      <c r="J150" s="366"/>
      <c r="K150" s="366"/>
      <c r="L150" s="366"/>
      <c r="M150" s="618"/>
    </row>
    <row r="151" spans="1:13" x14ac:dyDescent="0.3">
      <c r="A151" s="163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64"/>
    </row>
    <row r="152" spans="1:13" x14ac:dyDescent="0.3">
      <c r="A152" s="151"/>
      <c r="C152" s="133"/>
      <c r="D152" s="128"/>
      <c r="M152" s="131"/>
    </row>
    <row r="153" spans="1:13" x14ac:dyDescent="0.3">
      <c r="A153" s="151"/>
      <c r="M153" s="131"/>
    </row>
    <row r="154" spans="1:13" x14ac:dyDescent="0.3">
      <c r="A154" s="151"/>
      <c r="B154" s="127" t="s">
        <v>78</v>
      </c>
      <c r="C154" s="604">
        <f ca="1">F111</f>
        <v>46031</v>
      </c>
      <c r="D154" s="604"/>
      <c r="G154" s="306" t="str">
        <f>G88</f>
        <v>З. М.</v>
      </c>
      <c r="H154" s="306"/>
      <c r="I154" s="306"/>
      <c r="J154" s="606"/>
      <c r="K154" s="606"/>
      <c r="L154" s="606"/>
      <c r="M154" s="607"/>
    </row>
    <row r="155" spans="1:13" x14ac:dyDescent="0.3">
      <c r="A155" s="151"/>
      <c r="J155" s="586" t="s">
        <v>335</v>
      </c>
      <c r="K155" s="586"/>
      <c r="L155" s="586"/>
      <c r="M155" s="587"/>
    </row>
    <row r="156" spans="1:13" x14ac:dyDescent="0.3">
      <c r="A156" s="151"/>
      <c r="M156" s="131"/>
    </row>
    <row r="157" spans="1:13" x14ac:dyDescent="0.3">
      <c r="A157" s="151"/>
      <c r="M157" s="131"/>
    </row>
    <row r="158" spans="1:13" ht="19.5" thickBot="1" x14ac:dyDescent="0.35">
      <c r="A158" s="158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60"/>
    </row>
  </sheetData>
  <mergeCells count="146">
    <mergeCell ref="A147:M147"/>
    <mergeCell ref="A148:M148"/>
    <mergeCell ref="A149:F149"/>
    <mergeCell ref="G149:H149"/>
    <mergeCell ref="I149:M149"/>
    <mergeCell ref="A150:M150"/>
    <mergeCell ref="A142:M142"/>
    <mergeCell ref="A143:M143"/>
    <mergeCell ref="A144:M144"/>
    <mergeCell ref="A145:M145"/>
    <mergeCell ref="A146:M146"/>
    <mergeCell ref="J155:M155"/>
    <mergeCell ref="A112:M112"/>
    <mergeCell ref="C113:D113"/>
    <mergeCell ref="A113:B113"/>
    <mergeCell ref="A114:M114"/>
    <mergeCell ref="A115:M115"/>
    <mergeCell ref="A117:M117"/>
    <mergeCell ref="A118:M118"/>
    <mergeCell ref="A119:M119"/>
    <mergeCell ref="A120:M120"/>
    <mergeCell ref="A121:M121"/>
    <mergeCell ref="A122:M122"/>
    <mergeCell ref="A123:M123"/>
    <mergeCell ref="A124:M124"/>
    <mergeCell ref="A125:M125"/>
    <mergeCell ref="A126:M126"/>
    <mergeCell ref="A127:M127"/>
    <mergeCell ref="A128:M128"/>
    <mergeCell ref="C154:D154"/>
    <mergeCell ref="G154:I154"/>
    <mergeCell ref="J154:M154"/>
    <mergeCell ref="A129:M129"/>
    <mergeCell ref="A130:M130"/>
    <mergeCell ref="A131:M131"/>
    <mergeCell ref="A132:M132"/>
    <mergeCell ref="A133:M133"/>
    <mergeCell ref="A134:M134"/>
    <mergeCell ref="A135:M135"/>
    <mergeCell ref="A136:M136"/>
    <mergeCell ref="A137:M137"/>
    <mergeCell ref="A116:M116"/>
    <mergeCell ref="A110:M110"/>
    <mergeCell ref="A111:B111"/>
    <mergeCell ref="C111:E111"/>
    <mergeCell ref="G111:M111"/>
    <mergeCell ref="J97:M97"/>
    <mergeCell ref="A101:M101"/>
    <mergeCell ref="D103:E103"/>
    <mergeCell ref="F103:J103"/>
    <mergeCell ref="A105:F105"/>
    <mergeCell ref="A106:M106"/>
    <mergeCell ref="A107:M107"/>
    <mergeCell ref="A108:I108"/>
    <mergeCell ref="A109:M109"/>
    <mergeCell ref="C88:D88"/>
    <mergeCell ref="G88:I88"/>
    <mergeCell ref="J88:M88"/>
    <mergeCell ref="A70:M70"/>
    <mergeCell ref="A68:B68"/>
    <mergeCell ref="C68:D68"/>
    <mergeCell ref="E68:M68"/>
    <mergeCell ref="J89:M89"/>
    <mergeCell ref="A71:M71"/>
    <mergeCell ref="A72:M72"/>
    <mergeCell ref="A74:M74"/>
    <mergeCell ref="A75:M75"/>
    <mergeCell ref="A76:G76"/>
    <mergeCell ref="A77:M77"/>
    <mergeCell ref="A78:M78"/>
    <mergeCell ref="A79:M79"/>
    <mergeCell ref="A80:M80"/>
    <mergeCell ref="A81:M81"/>
    <mergeCell ref="A82:M82"/>
    <mergeCell ref="A84:M84"/>
    <mergeCell ref="A58:M58"/>
    <mergeCell ref="C19:E19"/>
    <mergeCell ref="A60:I60"/>
    <mergeCell ref="A61:M61"/>
    <mergeCell ref="A62:M62"/>
    <mergeCell ref="A63:B63"/>
    <mergeCell ref="C63:E63"/>
    <mergeCell ref="G63:M63"/>
    <mergeCell ref="A73:M73"/>
    <mergeCell ref="A64:M64"/>
    <mergeCell ref="A65:M65"/>
    <mergeCell ref="A66:B66"/>
    <mergeCell ref="C66:D66"/>
    <mergeCell ref="E66:F66"/>
    <mergeCell ref="G19:M19"/>
    <mergeCell ref="A20:C20"/>
    <mergeCell ref="D20:E20"/>
    <mergeCell ref="A24:M24"/>
    <mergeCell ref="A25:M25"/>
    <mergeCell ref="J48:M48"/>
    <mergeCell ref="D55:E55"/>
    <mergeCell ref="F55:J55"/>
    <mergeCell ref="A57:F57"/>
    <mergeCell ref="A138:M138"/>
    <mergeCell ref="A139:M139"/>
    <mergeCell ref="A140:M140"/>
    <mergeCell ref="A141:M141"/>
    <mergeCell ref="I21:L21"/>
    <mergeCell ref="A22:B22"/>
    <mergeCell ref="C22:D22"/>
    <mergeCell ref="C40:D40"/>
    <mergeCell ref="G40:I40"/>
    <mergeCell ref="J40:M40"/>
    <mergeCell ref="A38:M38"/>
    <mergeCell ref="E22:M22"/>
    <mergeCell ref="A26:M26"/>
    <mergeCell ref="A27:M27"/>
    <mergeCell ref="A28:M28"/>
    <mergeCell ref="A29:M29"/>
    <mergeCell ref="A30:M30"/>
    <mergeCell ref="A31:M31"/>
    <mergeCell ref="A32:M32"/>
    <mergeCell ref="A35:M35"/>
    <mergeCell ref="A36:M36"/>
    <mergeCell ref="J95:M95"/>
    <mergeCell ref="J96:M96"/>
    <mergeCell ref="A59:M59"/>
    <mergeCell ref="H2:M2"/>
    <mergeCell ref="H46:M46"/>
    <mergeCell ref="H94:M94"/>
    <mergeCell ref="O5:W8"/>
    <mergeCell ref="O49:W52"/>
    <mergeCell ref="O97:W100"/>
    <mergeCell ref="J3:M3"/>
    <mergeCell ref="J4:M4"/>
    <mergeCell ref="J5:M5"/>
    <mergeCell ref="J47:M47"/>
    <mergeCell ref="J49:M49"/>
    <mergeCell ref="A53:M53"/>
    <mergeCell ref="D21:H21"/>
    <mergeCell ref="A9:M9"/>
    <mergeCell ref="D11:E11"/>
    <mergeCell ref="F11:J11"/>
    <mergeCell ref="A13:F13"/>
    <mergeCell ref="J41:M41"/>
    <mergeCell ref="A14:M14"/>
    <mergeCell ref="A15:M15"/>
    <mergeCell ref="A16:I16"/>
    <mergeCell ref="A17:M17"/>
    <mergeCell ref="A18:M18"/>
    <mergeCell ref="A19:B19"/>
  </mergeCells>
  <pageMargins left="0.7" right="0.7" top="0.75" bottom="0.75" header="0.3" footer="0.3"/>
  <pageSetup paperSize="9" scale="5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62"/>
  <sheetViews>
    <sheetView zoomScale="80" zoomScaleNormal="80" workbookViewId="0">
      <selection activeCell="G5" sqref="G5"/>
    </sheetView>
  </sheetViews>
  <sheetFormatPr defaultRowHeight="18.75" x14ac:dyDescent="0.3"/>
  <cols>
    <col min="1" max="1" width="10.140625" style="122" customWidth="1"/>
    <col min="2" max="2" width="13.5703125" style="122" customWidth="1"/>
    <col min="3" max="3" width="10.140625" style="122" customWidth="1"/>
    <col min="4" max="4" width="9.140625" style="122"/>
    <col min="5" max="5" width="11.28515625" style="122" customWidth="1"/>
    <col min="6" max="6" width="14.7109375" style="122" customWidth="1"/>
    <col min="7" max="7" width="11.5703125" style="122" customWidth="1"/>
    <col min="8" max="8" width="17.140625" style="122" bestFit="1" customWidth="1"/>
    <col min="9" max="9" width="11.5703125" style="122" customWidth="1"/>
    <col min="10" max="10" width="14.140625" style="122" customWidth="1"/>
    <col min="11" max="11" width="3.140625" style="122" customWidth="1"/>
    <col min="12" max="12" width="17.85546875" style="122" customWidth="1"/>
    <col min="13" max="13" width="7.42578125" style="122" customWidth="1"/>
    <col min="14" max="16384" width="9.140625" style="122"/>
  </cols>
  <sheetData>
    <row r="1" spans="1:23" x14ac:dyDescent="0.3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50">
        <v>1</v>
      </c>
    </row>
    <row r="2" spans="1:23" x14ac:dyDescent="0.3">
      <c r="A2" s="151"/>
      <c r="H2" s="565" t="str">
        <f>Дог.!A140</f>
        <v>З. М.</v>
      </c>
      <c r="I2" s="565"/>
      <c r="J2" s="565"/>
      <c r="K2" s="565"/>
      <c r="L2" s="565"/>
      <c r="M2" s="566"/>
    </row>
    <row r="3" spans="1:23" x14ac:dyDescent="0.3">
      <c r="A3" s="151"/>
      <c r="J3" s="565" t="s">
        <v>336</v>
      </c>
      <c r="K3" s="565"/>
      <c r="L3" s="565"/>
      <c r="M3" s="566"/>
    </row>
    <row r="4" spans="1:23" ht="19.5" thickBot="1" x14ac:dyDescent="0.35">
      <c r="A4" s="151"/>
      <c r="J4" s="576" t="str">
        <f>Дог.!M7</f>
        <v>+996 (552) 727 607</v>
      </c>
      <c r="K4" s="576"/>
      <c r="L4" s="576"/>
      <c r="M4" s="577"/>
      <c r="O4" s="123"/>
    </row>
    <row r="5" spans="1:23" x14ac:dyDescent="0.3">
      <c r="A5" s="151"/>
      <c r="J5" s="565" t="s">
        <v>337</v>
      </c>
      <c r="K5" s="565"/>
      <c r="L5" s="565"/>
      <c r="M5" s="566"/>
      <c r="O5" s="567" t="s">
        <v>517</v>
      </c>
      <c r="P5" s="568"/>
      <c r="Q5" s="568"/>
      <c r="R5" s="568"/>
      <c r="S5" s="568"/>
      <c r="T5" s="568"/>
      <c r="U5" s="568"/>
      <c r="V5" s="568"/>
      <c r="W5" s="569"/>
    </row>
    <row r="6" spans="1:23" x14ac:dyDescent="0.3">
      <c r="A6" s="151"/>
      <c r="M6" s="131"/>
      <c r="O6" s="570"/>
      <c r="P6" s="571"/>
      <c r="Q6" s="571"/>
      <c r="R6" s="571"/>
      <c r="S6" s="571"/>
      <c r="T6" s="571"/>
      <c r="U6" s="571"/>
      <c r="V6" s="571"/>
      <c r="W6" s="572"/>
    </row>
    <row r="7" spans="1:23" x14ac:dyDescent="0.3">
      <c r="A7" s="151"/>
      <c r="M7" s="131"/>
      <c r="O7" s="570"/>
      <c r="P7" s="571"/>
      <c r="Q7" s="571"/>
      <c r="R7" s="571"/>
      <c r="S7" s="571"/>
      <c r="T7" s="571"/>
      <c r="U7" s="571"/>
      <c r="V7" s="571"/>
      <c r="W7" s="572"/>
    </row>
    <row r="8" spans="1:23" ht="19.5" thickBot="1" x14ac:dyDescent="0.35">
      <c r="A8" s="151"/>
      <c r="M8" s="131"/>
      <c r="O8" s="573"/>
      <c r="P8" s="574"/>
      <c r="Q8" s="574"/>
      <c r="R8" s="574"/>
      <c r="S8" s="574"/>
      <c r="T8" s="574"/>
      <c r="U8" s="574"/>
      <c r="V8" s="574"/>
      <c r="W8" s="575"/>
    </row>
    <row r="9" spans="1:23" ht="32.25" thickBot="1" x14ac:dyDescent="0.55000000000000004">
      <c r="A9" s="578" t="s">
        <v>338</v>
      </c>
      <c r="B9" s="579"/>
      <c r="C9" s="579"/>
      <c r="D9" s="579"/>
      <c r="E9" s="579"/>
      <c r="F9" s="579"/>
      <c r="G9" s="579"/>
      <c r="H9" s="579"/>
      <c r="I9" s="579"/>
      <c r="J9" s="579"/>
      <c r="K9" s="579"/>
      <c r="L9" s="579"/>
      <c r="M9" s="580"/>
    </row>
    <row r="10" spans="1:23" x14ac:dyDescent="0.3">
      <c r="A10" s="151"/>
      <c r="M10" s="131"/>
    </row>
    <row r="11" spans="1:23" x14ac:dyDescent="0.3">
      <c r="A11" s="152"/>
      <c r="B11" s="134"/>
      <c r="C11" s="134"/>
      <c r="D11" s="582" t="s">
        <v>332</v>
      </c>
      <c r="E11" s="582"/>
      <c r="F11" s="583" t="str">
        <f>Дог.!$A$18</f>
        <v>ХХХХ ХХХХ ХХХХ</v>
      </c>
      <c r="G11" s="583"/>
      <c r="H11" s="583"/>
      <c r="I11" s="583"/>
      <c r="J11" s="583"/>
      <c r="K11" s="134"/>
      <c r="L11" s="124" t="str">
        <f>Дог.!A23</f>
        <v>ХХХХХ</v>
      </c>
      <c r="M11" s="153" t="s">
        <v>254</v>
      </c>
    </row>
    <row r="12" spans="1:23" ht="19.5" thickBot="1" x14ac:dyDescent="0.35">
      <c r="A12" s="151"/>
      <c r="M12" s="131"/>
    </row>
    <row r="13" spans="1:23" ht="19.5" thickBot="1" x14ac:dyDescent="0.35">
      <c r="A13" s="584" t="s">
        <v>343</v>
      </c>
      <c r="B13" s="585"/>
      <c r="C13" s="585"/>
      <c r="D13" s="585"/>
      <c r="E13" s="585"/>
      <c r="F13" s="585"/>
      <c r="G13" s="125">
        <f ca="1">Дог.!J10</f>
        <v>9</v>
      </c>
      <c r="H13" s="126">
        <f ca="1">Дог.!K10</f>
        <v>1</v>
      </c>
      <c r="I13" s="126">
        <f ca="1">Дог.!L10</f>
        <v>2026</v>
      </c>
      <c r="J13" s="231">
        <f ca="1">Дог.!M10</f>
        <v>46031.871582060186</v>
      </c>
      <c r="K13" s="128" t="s">
        <v>256</v>
      </c>
      <c r="L13" s="133">
        <f ca="1">'Пр №1'!J21</f>
        <v>46031</v>
      </c>
      <c r="M13" s="131"/>
    </row>
    <row r="14" spans="1:23" x14ac:dyDescent="0.3">
      <c r="A14" s="584" t="s">
        <v>497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8"/>
    </row>
    <row r="15" spans="1:23" x14ac:dyDescent="0.3">
      <c r="A15" s="584" t="s">
        <v>502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8"/>
    </row>
    <row r="16" spans="1:23" ht="19.5" thickBot="1" x14ac:dyDescent="0.35">
      <c r="A16" s="589" t="s">
        <v>503</v>
      </c>
      <c r="B16" s="590"/>
      <c r="C16" s="590"/>
      <c r="D16" s="590"/>
      <c r="E16" s="590"/>
      <c r="F16" s="590"/>
      <c r="G16" s="590"/>
      <c r="H16" s="590"/>
      <c r="I16" s="590"/>
      <c r="J16" s="590"/>
      <c r="K16" s="590"/>
      <c r="L16" s="590"/>
      <c r="M16" s="161"/>
    </row>
    <row r="17" spans="1:16" ht="19.5" thickBot="1" x14ac:dyDescent="0.35">
      <c r="A17" s="623">
        <f ca="1">'Акт расч'!N46</f>
        <v>46032</v>
      </c>
      <c r="B17" s="62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55"/>
    </row>
    <row r="18" spans="1:16" x14ac:dyDescent="0.3">
      <c r="A18" s="589" t="s">
        <v>504</v>
      </c>
      <c r="B18" s="590"/>
      <c r="C18" s="590"/>
      <c r="D18" s="590"/>
      <c r="E18" s="590"/>
      <c r="F18" s="590"/>
      <c r="G18" s="590"/>
      <c r="H18" s="590"/>
      <c r="I18" s="590"/>
      <c r="J18" s="590"/>
      <c r="K18" s="590"/>
      <c r="L18" s="590"/>
      <c r="M18" s="591"/>
    </row>
    <row r="19" spans="1:16" x14ac:dyDescent="0.3">
      <c r="A19" s="589"/>
      <c r="B19" s="590"/>
      <c r="C19" s="590"/>
      <c r="D19" s="590"/>
      <c r="E19" s="590"/>
      <c r="F19" s="590"/>
      <c r="G19" s="590"/>
      <c r="H19" s="590"/>
      <c r="I19" s="590"/>
      <c r="J19" s="590"/>
      <c r="K19" s="590"/>
      <c r="L19" s="590"/>
      <c r="M19" s="591"/>
    </row>
    <row r="20" spans="1:16" x14ac:dyDescent="0.3">
      <c r="A20" s="592" t="str">
        <f>H2</f>
        <v>З. М.</v>
      </c>
      <c r="B20" s="593"/>
      <c r="C20" s="593" t="s">
        <v>385</v>
      </c>
      <c r="D20" s="593"/>
      <c r="E20" s="593"/>
      <c r="F20" s="133">
        <f ca="1">'Пр №1'!J21</f>
        <v>46031</v>
      </c>
      <c r="G20" s="590" t="s">
        <v>386</v>
      </c>
      <c r="H20" s="590"/>
      <c r="I20" s="590"/>
      <c r="J20" s="590"/>
      <c r="K20" s="590"/>
      <c r="L20" s="590"/>
      <c r="M20" s="591"/>
    </row>
    <row r="21" spans="1:16" x14ac:dyDescent="0.3">
      <c r="A21" s="589" t="s">
        <v>387</v>
      </c>
      <c r="B21" s="590"/>
      <c r="C21" s="590"/>
      <c r="D21" s="600">
        <f ca="1">'Акт расч'!P49</f>
        <v>-3000</v>
      </c>
      <c r="E21" s="600"/>
      <c r="F21" s="144"/>
      <c r="G21" s="144"/>
      <c r="H21" s="144"/>
      <c r="I21" s="144"/>
      <c r="J21" s="144"/>
      <c r="K21" s="144"/>
      <c r="L21" s="144"/>
      <c r="M21" s="155"/>
    </row>
    <row r="22" spans="1:16" ht="19.5" thickBot="1" x14ac:dyDescent="0.35">
      <c r="A22" s="156"/>
      <c r="B22" s="142"/>
      <c r="C22" s="45"/>
      <c r="D22" s="581"/>
      <c r="E22" s="581"/>
      <c r="F22" s="581"/>
      <c r="G22" s="581"/>
      <c r="H22" s="581"/>
      <c r="I22" s="600"/>
      <c r="J22" s="600"/>
      <c r="K22" s="600"/>
      <c r="L22" s="600"/>
      <c r="M22" s="157"/>
    </row>
    <row r="23" spans="1:16" ht="19.5" thickBot="1" x14ac:dyDescent="0.35">
      <c r="A23" s="601" t="s">
        <v>333</v>
      </c>
      <c r="B23" s="306"/>
      <c r="C23" s="602">
        <f ca="1">A17+1</f>
        <v>46033</v>
      </c>
      <c r="D23" s="603"/>
      <c r="E23" s="595" t="s">
        <v>498</v>
      </c>
      <c r="F23" s="595"/>
      <c r="G23" s="595"/>
      <c r="H23" s="595"/>
      <c r="I23" s="595"/>
      <c r="J23" s="595"/>
      <c r="K23" s="595"/>
      <c r="L23" s="595"/>
      <c r="M23" s="596"/>
    </row>
    <row r="24" spans="1:16" x14ac:dyDescent="0.3">
      <c r="A24" s="151"/>
      <c r="C24" s="133"/>
      <c r="D24" s="128"/>
      <c r="M24" s="131"/>
    </row>
    <row r="25" spans="1:16" x14ac:dyDescent="0.3">
      <c r="A25" s="594" t="s">
        <v>477</v>
      </c>
      <c r="B25" s="595"/>
      <c r="C25" s="595"/>
      <c r="D25" s="595"/>
      <c r="E25" s="595"/>
      <c r="F25" s="595"/>
      <c r="G25" s="595"/>
      <c r="H25" s="595"/>
      <c r="I25" s="595"/>
      <c r="J25" s="595"/>
      <c r="K25" s="595"/>
      <c r="L25" s="595"/>
      <c r="M25" s="596"/>
    </row>
    <row r="26" spans="1:16" x14ac:dyDescent="0.3">
      <c r="A26" s="625" t="s">
        <v>500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7"/>
      <c r="N26" s="181"/>
      <c r="O26" s="181"/>
      <c r="P26" s="181"/>
    </row>
    <row r="27" spans="1:16" x14ac:dyDescent="0.3">
      <c r="A27" s="589" t="s">
        <v>449</v>
      </c>
      <c r="B27" s="590"/>
      <c r="C27" s="590"/>
      <c r="D27" s="590"/>
      <c r="E27" s="590"/>
      <c r="F27" s="590"/>
      <c r="G27" s="590"/>
      <c r="H27" s="590"/>
      <c r="I27" s="590"/>
      <c r="J27" s="590"/>
      <c r="K27" s="590"/>
      <c r="L27" s="590"/>
      <c r="M27" s="591"/>
      <c r="N27" s="182"/>
      <c r="O27" s="182"/>
      <c r="P27" s="182"/>
    </row>
    <row r="28" spans="1:16" x14ac:dyDescent="0.3">
      <c r="A28" s="589" t="s">
        <v>450</v>
      </c>
      <c r="B28" s="590"/>
      <c r="C28" s="590"/>
      <c r="D28" s="590"/>
      <c r="E28" s="590"/>
      <c r="F28" s="590"/>
      <c r="G28" s="590"/>
      <c r="H28" s="590"/>
      <c r="I28" s="590"/>
      <c r="J28" s="590"/>
      <c r="K28" s="590"/>
      <c r="L28" s="590"/>
      <c r="M28" s="591"/>
      <c r="N28" s="182"/>
      <c r="O28" s="182"/>
      <c r="P28" s="182"/>
    </row>
    <row r="29" spans="1:16" x14ac:dyDescent="0.3">
      <c r="A29" s="589" t="s">
        <v>354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591"/>
      <c r="N29" s="182"/>
      <c r="O29" s="182"/>
      <c r="P29" s="182"/>
    </row>
    <row r="30" spans="1:16" x14ac:dyDescent="0.3">
      <c r="A30" s="589" t="s">
        <v>353</v>
      </c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  <c r="M30" s="591"/>
      <c r="N30" s="182"/>
      <c r="O30" s="182"/>
      <c r="P30" s="182"/>
    </row>
    <row r="31" spans="1:16" x14ac:dyDescent="0.3">
      <c r="A31" s="589" t="s">
        <v>356</v>
      </c>
      <c r="B31" s="590"/>
      <c r="C31" s="590"/>
      <c r="D31" s="590"/>
      <c r="E31" s="590"/>
      <c r="F31" s="590"/>
      <c r="G31" s="590"/>
      <c r="H31" s="590"/>
      <c r="I31" s="590"/>
      <c r="J31" s="590"/>
      <c r="K31" s="590"/>
      <c r="L31" s="590"/>
      <c r="M31" s="591"/>
      <c r="N31" s="182"/>
      <c r="O31" s="182"/>
      <c r="P31" s="182"/>
    </row>
    <row r="32" spans="1:16" x14ac:dyDescent="0.3">
      <c r="A32" s="589" t="s">
        <v>508</v>
      </c>
      <c r="B32" s="590"/>
      <c r="C32" s="590"/>
      <c r="D32" s="590"/>
      <c r="E32" s="590"/>
      <c r="F32" s="590"/>
      <c r="G32" s="590"/>
      <c r="H32" s="590"/>
      <c r="I32" s="590"/>
      <c r="J32" s="590"/>
      <c r="K32" s="590"/>
      <c r="L32" s="590"/>
      <c r="M32" s="591"/>
      <c r="N32" s="182"/>
      <c r="O32" s="182"/>
      <c r="P32" s="182"/>
    </row>
    <row r="33" spans="1:16" x14ac:dyDescent="0.3">
      <c r="A33" s="589" t="s">
        <v>509</v>
      </c>
      <c r="B33" s="590"/>
      <c r="C33" s="590"/>
      <c r="D33" s="590"/>
      <c r="E33" s="590"/>
      <c r="F33" s="590"/>
      <c r="G33" s="590"/>
      <c r="H33" s="590"/>
      <c r="I33" s="590"/>
      <c r="J33" s="590"/>
      <c r="K33" s="590"/>
      <c r="L33" s="590"/>
      <c r="M33" s="591"/>
      <c r="N33" s="182"/>
      <c r="O33" s="182"/>
      <c r="P33" s="182"/>
    </row>
    <row r="34" spans="1:16" x14ac:dyDescent="0.3">
      <c r="A34" s="589" t="s">
        <v>507</v>
      </c>
      <c r="B34" s="590"/>
      <c r="C34" s="590"/>
      <c r="D34" s="590"/>
      <c r="E34" s="590"/>
      <c r="F34" s="590"/>
      <c r="G34" s="590"/>
      <c r="H34" s="590"/>
      <c r="I34" s="590"/>
      <c r="J34" s="590"/>
      <c r="K34" s="590"/>
      <c r="L34" s="590"/>
      <c r="M34" s="591"/>
      <c r="N34" s="182"/>
      <c r="O34" s="182"/>
      <c r="P34" s="182"/>
    </row>
    <row r="35" spans="1:16" x14ac:dyDescent="0.3">
      <c r="A35" s="589" t="s">
        <v>524</v>
      </c>
      <c r="B35" s="590"/>
      <c r="C35" s="590"/>
      <c r="D35" s="590"/>
      <c r="E35" s="590"/>
      <c r="F35" s="590"/>
      <c r="G35" s="590"/>
      <c r="H35" s="590"/>
      <c r="I35" s="590"/>
      <c r="J35" s="590"/>
      <c r="K35" s="590"/>
      <c r="L35" s="590"/>
      <c r="M35" s="591"/>
      <c r="N35" s="182"/>
      <c r="O35" s="182"/>
      <c r="P35" s="182"/>
    </row>
    <row r="36" spans="1:16" x14ac:dyDescent="0.3">
      <c r="A36" s="589" t="s">
        <v>520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1"/>
    </row>
    <row r="37" spans="1:16" x14ac:dyDescent="0.3">
      <c r="A37" s="589" t="s">
        <v>521</v>
      </c>
      <c r="B37" s="590"/>
      <c r="C37" s="590"/>
      <c r="D37" s="590"/>
      <c r="E37" s="590"/>
      <c r="F37" s="590"/>
      <c r="G37" s="590"/>
      <c r="H37" s="590"/>
      <c r="I37" s="590"/>
      <c r="J37" s="590"/>
      <c r="K37" s="590"/>
      <c r="L37" s="590"/>
      <c r="M37" s="591"/>
    </row>
    <row r="38" spans="1:16" x14ac:dyDescent="0.3">
      <c r="A38" s="151"/>
      <c r="C38" s="133"/>
      <c r="D38" s="128"/>
      <c r="M38" s="131"/>
    </row>
    <row r="39" spans="1:16" x14ac:dyDescent="0.3">
      <c r="A39" s="151"/>
      <c r="C39" s="133"/>
      <c r="D39" s="128"/>
      <c r="M39" s="131"/>
    </row>
    <row r="40" spans="1:16" x14ac:dyDescent="0.3">
      <c r="A40" s="601" t="s">
        <v>510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608"/>
    </row>
    <row r="41" spans="1:16" x14ac:dyDescent="0.3">
      <c r="A41" s="601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608"/>
    </row>
    <row r="42" spans="1:16" x14ac:dyDescent="0.3">
      <c r="A42" s="151"/>
      <c r="C42" s="130"/>
      <c r="D42" s="129"/>
      <c r="E42" s="85"/>
      <c r="F42" s="85"/>
      <c r="G42" s="85"/>
      <c r="H42" s="85"/>
      <c r="I42" s="85"/>
      <c r="J42" s="85"/>
      <c r="K42" s="85"/>
      <c r="L42" s="85"/>
      <c r="M42" s="147"/>
    </row>
    <row r="43" spans="1:16" x14ac:dyDescent="0.3">
      <c r="A43" s="584"/>
      <c r="B43" s="585"/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8"/>
    </row>
    <row r="44" spans="1:16" x14ac:dyDescent="0.3">
      <c r="A44" s="151"/>
      <c r="M44" s="131"/>
    </row>
    <row r="45" spans="1:16" x14ac:dyDescent="0.3">
      <c r="A45" s="151"/>
      <c r="B45" s="127" t="s">
        <v>78</v>
      </c>
      <c r="C45" s="604">
        <f ca="1">F20</f>
        <v>46031</v>
      </c>
      <c r="D45" s="605"/>
      <c r="G45" s="306" t="str">
        <f>H2</f>
        <v>З. М.</v>
      </c>
      <c r="H45" s="306"/>
      <c r="I45" s="306"/>
      <c r="J45" s="606"/>
      <c r="K45" s="606"/>
      <c r="L45" s="606"/>
      <c r="M45" s="607"/>
    </row>
    <row r="46" spans="1:16" x14ac:dyDescent="0.3">
      <c r="A46" s="151"/>
      <c r="J46" s="586" t="s">
        <v>335</v>
      </c>
      <c r="K46" s="586"/>
      <c r="L46" s="586"/>
      <c r="M46" s="587"/>
    </row>
    <row r="47" spans="1:16" x14ac:dyDescent="0.3">
      <c r="A47" s="151"/>
      <c r="M47" s="131"/>
    </row>
    <row r="48" spans="1:16" x14ac:dyDescent="0.3">
      <c r="A48" s="151"/>
      <c r="M48" s="131"/>
    </row>
    <row r="49" spans="1:23" ht="19.5" thickBot="1" x14ac:dyDescent="0.35">
      <c r="A49" s="158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60"/>
    </row>
    <row r="50" spans="1:23" x14ac:dyDescent="0.3">
      <c r="A50" s="148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50">
        <v>2</v>
      </c>
    </row>
    <row r="51" spans="1:23" x14ac:dyDescent="0.3">
      <c r="A51" s="151"/>
      <c r="H51" s="565" t="str">
        <f>H2</f>
        <v>З. М.</v>
      </c>
      <c r="I51" s="565"/>
      <c r="J51" s="565"/>
      <c r="K51" s="565"/>
      <c r="L51" s="565"/>
      <c r="M51" s="566"/>
    </row>
    <row r="52" spans="1:23" x14ac:dyDescent="0.3">
      <c r="A52" s="151"/>
      <c r="J52" s="565" t="s">
        <v>336</v>
      </c>
      <c r="K52" s="565"/>
      <c r="L52" s="565"/>
      <c r="M52" s="566"/>
    </row>
    <row r="53" spans="1:23" ht="19.5" thickBot="1" x14ac:dyDescent="0.35">
      <c r="A53" s="151"/>
      <c r="J53" s="576" t="str">
        <f>J4</f>
        <v>+996 (552) 727 607</v>
      </c>
      <c r="K53" s="576"/>
      <c r="L53" s="576"/>
      <c r="M53" s="577"/>
    </row>
    <row r="54" spans="1:23" x14ac:dyDescent="0.3">
      <c r="A54" s="151"/>
      <c r="J54" s="565" t="s">
        <v>337</v>
      </c>
      <c r="K54" s="565"/>
      <c r="L54" s="565"/>
      <c r="M54" s="566"/>
      <c r="O54" s="567" t="str">
        <f>O5</f>
        <v>Оборудование вернули но не оплатили</v>
      </c>
      <c r="P54" s="568"/>
      <c r="Q54" s="568"/>
      <c r="R54" s="568"/>
      <c r="S54" s="568"/>
      <c r="T54" s="568"/>
      <c r="U54" s="568"/>
      <c r="V54" s="568"/>
      <c r="W54" s="569"/>
    </row>
    <row r="55" spans="1:23" x14ac:dyDescent="0.3">
      <c r="A55" s="151"/>
      <c r="M55" s="131"/>
      <c r="O55" s="570"/>
      <c r="P55" s="571"/>
      <c r="Q55" s="571"/>
      <c r="R55" s="571"/>
      <c r="S55" s="571"/>
      <c r="T55" s="571"/>
      <c r="U55" s="571"/>
      <c r="V55" s="571"/>
      <c r="W55" s="572"/>
    </row>
    <row r="56" spans="1:23" x14ac:dyDescent="0.3">
      <c r="A56" s="151"/>
      <c r="M56" s="131"/>
      <c r="O56" s="570"/>
      <c r="P56" s="571"/>
      <c r="Q56" s="571"/>
      <c r="R56" s="571"/>
      <c r="S56" s="571"/>
      <c r="T56" s="571"/>
      <c r="U56" s="571"/>
      <c r="V56" s="571"/>
      <c r="W56" s="572"/>
    </row>
    <row r="57" spans="1:23" ht="19.5" thickBot="1" x14ac:dyDescent="0.35">
      <c r="A57" s="151"/>
      <c r="M57" s="131"/>
      <c r="O57" s="573"/>
      <c r="P57" s="574"/>
      <c r="Q57" s="574"/>
      <c r="R57" s="574"/>
      <c r="S57" s="574"/>
      <c r="T57" s="574"/>
      <c r="U57" s="574"/>
      <c r="V57" s="574"/>
      <c r="W57" s="575"/>
    </row>
    <row r="58" spans="1:23" ht="32.25" thickBot="1" x14ac:dyDescent="0.55000000000000004">
      <c r="A58" s="578" t="s">
        <v>617</v>
      </c>
      <c r="B58" s="579"/>
      <c r="C58" s="579"/>
      <c r="D58" s="579"/>
      <c r="E58" s="579"/>
      <c r="F58" s="579"/>
      <c r="G58" s="579"/>
      <c r="H58" s="579"/>
      <c r="I58" s="579"/>
      <c r="J58" s="579"/>
      <c r="K58" s="579"/>
      <c r="L58" s="579"/>
      <c r="M58" s="580"/>
    </row>
    <row r="59" spans="1:23" x14ac:dyDescent="0.3">
      <c r="A59" s="151"/>
      <c r="M59" s="131"/>
    </row>
    <row r="60" spans="1:23" x14ac:dyDescent="0.3">
      <c r="A60" s="152"/>
      <c r="B60" s="134"/>
      <c r="C60" s="134"/>
      <c r="D60" s="582" t="s">
        <v>332</v>
      </c>
      <c r="E60" s="582"/>
      <c r="F60" s="583" t="str">
        <f>Дог.!$A$18</f>
        <v>ХХХХ ХХХХ ХХХХ</v>
      </c>
      <c r="G60" s="583"/>
      <c r="H60" s="583"/>
      <c r="I60" s="583"/>
      <c r="J60" s="583"/>
      <c r="K60" s="134"/>
      <c r="L60" s="124" t="str">
        <f>L11</f>
        <v>ХХХХХ</v>
      </c>
      <c r="M60" s="153" t="s">
        <v>254</v>
      </c>
    </row>
    <row r="61" spans="1:23" ht="19.5" thickBot="1" x14ac:dyDescent="0.35">
      <c r="A61" s="151"/>
      <c r="M61" s="131"/>
    </row>
    <row r="62" spans="1:23" ht="19.5" thickBot="1" x14ac:dyDescent="0.35">
      <c r="A62" s="584" t="s">
        <v>343</v>
      </c>
      <c r="B62" s="585"/>
      <c r="C62" s="585"/>
      <c r="D62" s="585"/>
      <c r="E62" s="585"/>
      <c r="F62" s="585"/>
      <c r="G62" s="125">
        <f ca="1">G13</f>
        <v>9</v>
      </c>
      <c r="H62" s="126">
        <f ca="1">H13</f>
        <v>1</v>
      </c>
      <c r="I62" s="126">
        <f ca="1">I13</f>
        <v>2026</v>
      </c>
      <c r="J62" s="231">
        <f ca="1">J13</f>
        <v>46031.871582060186</v>
      </c>
      <c r="K62" s="128" t="s">
        <v>256</v>
      </c>
      <c r="L62" s="133">
        <f ca="1">L13</f>
        <v>46031</v>
      </c>
      <c r="M62" s="131"/>
    </row>
    <row r="63" spans="1:23" x14ac:dyDescent="0.3">
      <c r="A63" s="584" t="s">
        <v>497</v>
      </c>
      <c r="B63" s="585"/>
      <c r="C63" s="585"/>
      <c r="D63" s="585"/>
      <c r="E63" s="585"/>
      <c r="F63" s="585"/>
      <c r="G63" s="585"/>
      <c r="H63" s="585"/>
      <c r="I63" s="585"/>
      <c r="J63" s="585"/>
      <c r="K63" s="585"/>
      <c r="L63" s="585"/>
      <c r="M63" s="588"/>
    </row>
    <row r="64" spans="1:23" x14ac:dyDescent="0.3">
      <c r="A64" s="584" t="s">
        <v>511</v>
      </c>
      <c r="B64" s="585"/>
      <c r="C64" s="585"/>
      <c r="D64" s="585"/>
      <c r="E64" s="585"/>
      <c r="F64" s="585"/>
      <c r="G64" s="585"/>
      <c r="H64" s="585"/>
      <c r="I64" s="585"/>
      <c r="J64" s="585"/>
      <c r="K64" s="585"/>
      <c r="L64" s="585"/>
      <c r="M64" s="588"/>
    </row>
    <row r="65" spans="1:15" ht="19.5" thickBot="1" x14ac:dyDescent="0.35">
      <c r="A65" s="589" t="s">
        <v>513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1"/>
    </row>
    <row r="66" spans="1:15" ht="19.5" thickBot="1" x14ac:dyDescent="0.35">
      <c r="A66" s="623">
        <f ca="1">A17</f>
        <v>46032</v>
      </c>
      <c r="B66" s="62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55"/>
    </row>
    <row r="67" spans="1:15" x14ac:dyDescent="0.3">
      <c r="A67" s="589" t="s">
        <v>523</v>
      </c>
      <c r="B67" s="590"/>
      <c r="C67" s="590"/>
      <c r="D67" s="590"/>
      <c r="E67" s="590"/>
      <c r="F67" s="590"/>
      <c r="G67" s="590"/>
      <c r="H67" s="590"/>
      <c r="I67" s="590"/>
      <c r="J67" s="590"/>
      <c r="K67" s="590"/>
      <c r="L67" s="590"/>
      <c r="M67" s="591"/>
    </row>
    <row r="68" spans="1:15" x14ac:dyDescent="0.3">
      <c r="A68" s="594" t="s">
        <v>607</v>
      </c>
      <c r="B68" s="590"/>
      <c r="C68" s="590"/>
      <c r="D68" s="590"/>
      <c r="E68" s="590"/>
      <c r="F68" s="590"/>
      <c r="G68" s="590"/>
      <c r="H68" s="590"/>
      <c r="I68" s="590"/>
      <c r="J68" s="590"/>
      <c r="K68" s="590"/>
      <c r="L68" s="590"/>
      <c r="M68" s="591"/>
    </row>
    <row r="69" spans="1:15" x14ac:dyDescent="0.3">
      <c r="A69" s="592" t="str">
        <f>H51</f>
        <v>З. М.</v>
      </c>
      <c r="B69" s="593"/>
      <c r="C69" s="593" t="s">
        <v>385</v>
      </c>
      <c r="D69" s="593"/>
      <c r="E69" s="593"/>
      <c r="F69" s="133">
        <f ca="1">F20</f>
        <v>46031</v>
      </c>
      <c r="G69" s="590" t="s">
        <v>519</v>
      </c>
      <c r="H69" s="590"/>
      <c r="I69" s="590"/>
      <c r="J69" s="590"/>
      <c r="K69" s="590"/>
      <c r="L69" s="590"/>
      <c r="M69" s="591"/>
    </row>
    <row r="70" spans="1:15" x14ac:dyDescent="0.3">
      <c r="A70" s="589" t="s">
        <v>501</v>
      </c>
      <c r="B70" s="590"/>
      <c r="C70" s="590"/>
      <c r="D70" s="590"/>
      <c r="E70" s="590"/>
      <c r="F70" s="590"/>
      <c r="G70" s="590"/>
      <c r="H70" s="590"/>
      <c r="I70" s="590"/>
      <c r="J70" s="590"/>
      <c r="K70" s="590"/>
      <c r="L70" s="590"/>
      <c r="M70" s="591"/>
    </row>
    <row r="71" spans="1:15" x14ac:dyDescent="0.3">
      <c r="A71" s="589" t="s">
        <v>514</v>
      </c>
      <c r="B71" s="590"/>
      <c r="C71" s="590"/>
      <c r="D71" s="590"/>
      <c r="E71" s="590"/>
      <c r="F71" s="590"/>
      <c r="G71" s="590"/>
      <c r="H71" s="590"/>
      <c r="I71" s="590"/>
      <c r="J71" s="590"/>
      <c r="K71" s="590"/>
      <c r="L71" s="590"/>
      <c r="M71" s="591"/>
      <c r="O71" s="140"/>
    </row>
    <row r="72" spans="1:15" x14ac:dyDescent="0.3">
      <c r="A72" s="589" t="s">
        <v>529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1"/>
      <c r="O72" s="140"/>
    </row>
    <row r="73" spans="1:15" x14ac:dyDescent="0.3">
      <c r="A73" s="584"/>
      <c r="B73" s="585"/>
      <c r="C73" s="306" t="s">
        <v>395</v>
      </c>
      <c r="D73" s="306"/>
      <c r="E73" s="600">
        <f ca="1">'Акт расч'!P49</f>
        <v>-3000</v>
      </c>
      <c r="F73" s="600"/>
      <c r="G73" s="85"/>
      <c r="H73" s="85"/>
      <c r="I73" s="141"/>
      <c r="J73" s="141"/>
      <c r="K73" s="141"/>
      <c r="L73" s="141"/>
      <c r="M73" s="157"/>
    </row>
    <row r="74" spans="1:15" ht="19.5" thickBot="1" x14ac:dyDescent="0.35">
      <c r="A74" s="156"/>
      <c r="B74" s="142"/>
      <c r="C74" s="45"/>
      <c r="D74" s="129"/>
      <c r="E74" s="129"/>
      <c r="F74" s="129"/>
      <c r="G74" s="129"/>
      <c r="H74" s="129"/>
      <c r="I74" s="132"/>
      <c r="J74" s="132"/>
      <c r="K74" s="132"/>
      <c r="L74" s="132"/>
      <c r="M74" s="157"/>
    </row>
    <row r="75" spans="1:15" ht="19.5" thickBot="1" x14ac:dyDescent="0.35">
      <c r="A75" s="601" t="s">
        <v>530</v>
      </c>
      <c r="B75" s="306"/>
      <c r="C75" s="609">
        <f ca="1">F69+1</f>
        <v>46032</v>
      </c>
      <c r="D75" s="610"/>
      <c r="E75" s="595" t="s">
        <v>525</v>
      </c>
      <c r="F75" s="595"/>
      <c r="G75" s="595"/>
      <c r="H75" s="595"/>
      <c r="I75" s="595"/>
      <c r="J75" s="595"/>
      <c r="K75" s="595"/>
      <c r="L75" s="595"/>
      <c r="M75" s="596"/>
    </row>
    <row r="76" spans="1:15" x14ac:dyDescent="0.3">
      <c r="A76" s="151"/>
      <c r="C76" s="133"/>
      <c r="D76" s="128"/>
      <c r="M76" s="131"/>
    </row>
    <row r="77" spans="1:15" x14ac:dyDescent="0.3">
      <c r="A77" s="594" t="s">
        <v>477</v>
      </c>
      <c r="B77" s="595"/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6"/>
    </row>
    <row r="78" spans="1:15" x14ac:dyDescent="0.3">
      <c r="A78" s="589" t="s">
        <v>275</v>
      </c>
      <c r="B78" s="590"/>
      <c r="C78" s="590"/>
      <c r="D78" s="590"/>
      <c r="E78" s="590"/>
      <c r="F78" s="590"/>
      <c r="G78" s="590"/>
      <c r="H78" s="590"/>
      <c r="I78" s="590"/>
      <c r="J78" s="590"/>
      <c r="K78" s="590"/>
      <c r="L78" s="590"/>
      <c r="M78" s="591"/>
    </row>
    <row r="79" spans="1:15" x14ac:dyDescent="0.3">
      <c r="A79" s="589" t="s">
        <v>402</v>
      </c>
      <c r="B79" s="590"/>
      <c r="C79" s="590"/>
      <c r="D79" s="590"/>
      <c r="E79" s="590"/>
      <c r="F79" s="590"/>
      <c r="G79" s="590"/>
      <c r="H79" s="590"/>
      <c r="I79" s="590"/>
      <c r="J79" s="590"/>
      <c r="K79" s="590"/>
      <c r="L79" s="590"/>
      <c r="M79" s="591"/>
    </row>
    <row r="80" spans="1:15" x14ac:dyDescent="0.3">
      <c r="A80" s="589" t="s">
        <v>276</v>
      </c>
      <c r="B80" s="590"/>
      <c r="C80" s="590"/>
      <c r="D80" s="590"/>
      <c r="E80" s="590"/>
      <c r="F80" s="590"/>
      <c r="G80" s="590"/>
      <c r="H80" s="590"/>
      <c r="I80" s="590"/>
      <c r="J80" s="590"/>
      <c r="K80" s="590"/>
      <c r="L80" s="590"/>
      <c r="M80" s="591"/>
    </row>
    <row r="81" spans="1:13" x14ac:dyDescent="0.3">
      <c r="A81" s="589" t="s">
        <v>277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1"/>
    </row>
    <row r="82" spans="1:13" x14ac:dyDescent="0.3">
      <c r="A82" s="611" t="s">
        <v>532</v>
      </c>
      <c r="B82" s="61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3"/>
    </row>
    <row r="83" spans="1:13" x14ac:dyDescent="0.3">
      <c r="A83" s="611" t="s">
        <v>515</v>
      </c>
      <c r="B83" s="612"/>
      <c r="C83" s="612"/>
      <c r="D83" s="612"/>
      <c r="E83" s="612"/>
      <c r="F83" s="612"/>
      <c r="G83" s="612"/>
      <c r="H83" s="162"/>
      <c r="I83" s="162"/>
      <c r="J83" s="162"/>
      <c r="K83" s="162"/>
      <c r="L83" s="162"/>
      <c r="M83" s="165"/>
    </row>
    <row r="84" spans="1:13" x14ac:dyDescent="0.3">
      <c r="A84" s="589" t="s">
        <v>396</v>
      </c>
      <c r="B84" s="590"/>
      <c r="C84" s="590"/>
      <c r="D84" s="590"/>
      <c r="E84" s="590"/>
      <c r="F84" s="590"/>
      <c r="G84" s="590"/>
      <c r="H84" s="590"/>
      <c r="I84" s="590"/>
      <c r="J84" s="590"/>
      <c r="K84" s="590"/>
      <c r="L84" s="590"/>
      <c r="M84" s="591"/>
    </row>
    <row r="85" spans="1:13" x14ac:dyDescent="0.3">
      <c r="A85" s="589" t="s">
        <v>397</v>
      </c>
      <c r="B85" s="590"/>
      <c r="C85" s="590"/>
      <c r="D85" s="590"/>
      <c r="E85" s="590"/>
      <c r="F85" s="590"/>
      <c r="G85" s="590"/>
      <c r="H85" s="590"/>
      <c r="I85" s="590"/>
      <c r="J85" s="590"/>
      <c r="K85" s="590"/>
      <c r="L85" s="590"/>
      <c r="M85" s="591"/>
    </row>
    <row r="86" spans="1:13" x14ac:dyDescent="0.3">
      <c r="A86" s="589" t="s">
        <v>399</v>
      </c>
      <c r="B86" s="590"/>
      <c r="C86" s="590"/>
      <c r="D86" s="590"/>
      <c r="E86" s="590"/>
      <c r="F86" s="590"/>
      <c r="G86" s="590"/>
      <c r="H86" s="590"/>
      <c r="I86" s="590"/>
      <c r="J86" s="590"/>
      <c r="K86" s="590"/>
      <c r="L86" s="590"/>
      <c r="M86" s="591"/>
    </row>
    <row r="87" spans="1:13" x14ac:dyDescent="0.3">
      <c r="A87" s="589" t="s">
        <v>429</v>
      </c>
      <c r="B87" s="590"/>
      <c r="C87" s="590"/>
      <c r="D87" s="590"/>
      <c r="E87" s="590"/>
      <c r="F87" s="590"/>
      <c r="G87" s="590"/>
      <c r="H87" s="590"/>
      <c r="I87" s="590"/>
      <c r="J87" s="590"/>
      <c r="K87" s="590"/>
      <c r="L87" s="590"/>
      <c r="M87" s="591"/>
    </row>
    <row r="88" spans="1:13" x14ac:dyDescent="0.3">
      <c r="A88" s="589" t="s">
        <v>404</v>
      </c>
      <c r="B88" s="590"/>
      <c r="C88" s="590"/>
      <c r="D88" s="590"/>
      <c r="E88" s="590"/>
      <c r="F88" s="590"/>
      <c r="G88" s="590"/>
      <c r="H88" s="590"/>
      <c r="I88" s="590"/>
      <c r="J88" s="590"/>
      <c r="K88" s="590"/>
      <c r="L88" s="590"/>
      <c r="M88" s="591"/>
    </row>
    <row r="89" spans="1:13" x14ac:dyDescent="0.3">
      <c r="A89" s="594" t="s">
        <v>405</v>
      </c>
      <c r="B89" s="595"/>
      <c r="C89" s="595"/>
      <c r="D89" s="595"/>
      <c r="E89" s="595"/>
      <c r="F89" s="595"/>
      <c r="G89" s="595"/>
      <c r="H89" s="595"/>
      <c r="I89" s="595"/>
      <c r="J89" s="595"/>
      <c r="K89" s="595"/>
      <c r="L89" s="595"/>
      <c r="M89" s="596"/>
    </row>
    <row r="90" spans="1:13" x14ac:dyDescent="0.3">
      <c r="A90" s="151"/>
      <c r="C90" s="130"/>
      <c r="D90" s="129"/>
      <c r="E90" s="85"/>
      <c r="F90" s="85"/>
      <c r="G90" s="85"/>
      <c r="H90" s="85"/>
      <c r="I90" s="85"/>
      <c r="J90" s="85"/>
      <c r="K90" s="85"/>
      <c r="L90" s="85"/>
      <c r="M90" s="147"/>
    </row>
    <row r="91" spans="1:13" x14ac:dyDescent="0.3">
      <c r="A91" s="601" t="s">
        <v>522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608"/>
    </row>
    <row r="92" spans="1:13" x14ac:dyDescent="0.3">
      <c r="A92" s="163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64"/>
    </row>
    <row r="93" spans="1:13" x14ac:dyDescent="0.3">
      <c r="A93" s="151"/>
      <c r="C93" s="133"/>
      <c r="D93" s="128"/>
      <c r="M93" s="131"/>
    </row>
    <row r="94" spans="1:13" x14ac:dyDescent="0.3">
      <c r="A94" s="151"/>
      <c r="M94" s="131"/>
    </row>
    <row r="95" spans="1:13" x14ac:dyDescent="0.3">
      <c r="A95" s="151"/>
      <c r="B95" s="127" t="s">
        <v>78</v>
      </c>
      <c r="C95" s="604">
        <f ca="1">F69</f>
        <v>46031</v>
      </c>
      <c r="D95" s="605"/>
      <c r="G95" s="306" t="str">
        <f>G45</f>
        <v>З. М.</v>
      </c>
      <c r="H95" s="306"/>
      <c r="I95" s="306"/>
      <c r="J95" s="606"/>
      <c r="K95" s="606"/>
      <c r="L95" s="606"/>
      <c r="M95" s="607"/>
    </row>
    <row r="96" spans="1:13" x14ac:dyDescent="0.3">
      <c r="A96" s="151"/>
      <c r="J96" s="586" t="s">
        <v>335</v>
      </c>
      <c r="K96" s="586"/>
      <c r="L96" s="586"/>
      <c r="M96" s="587"/>
    </row>
    <row r="97" spans="1:23" x14ac:dyDescent="0.3">
      <c r="A97" s="151"/>
      <c r="M97" s="131"/>
    </row>
    <row r="98" spans="1:23" x14ac:dyDescent="0.3">
      <c r="A98" s="151"/>
      <c r="M98" s="131"/>
    </row>
    <row r="99" spans="1:23" ht="19.5" thickBot="1" x14ac:dyDescent="0.35">
      <c r="A99" s="158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60"/>
    </row>
    <row r="100" spans="1:23" x14ac:dyDescent="0.3">
      <c r="A100" s="148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50">
        <v>3</v>
      </c>
    </row>
    <row r="101" spans="1:23" x14ac:dyDescent="0.3">
      <c r="A101" s="151"/>
      <c r="H101" s="565" t="str">
        <f>H2</f>
        <v>З. М.</v>
      </c>
      <c r="I101" s="565"/>
      <c r="J101" s="565"/>
      <c r="K101" s="565"/>
      <c r="L101" s="565"/>
      <c r="M101" s="566"/>
    </row>
    <row r="102" spans="1:23" x14ac:dyDescent="0.3">
      <c r="A102" s="151"/>
      <c r="J102" s="565" t="s">
        <v>336</v>
      </c>
      <c r="K102" s="565"/>
      <c r="L102" s="565"/>
      <c r="M102" s="566"/>
    </row>
    <row r="103" spans="1:23" ht="19.5" thickBot="1" x14ac:dyDescent="0.35">
      <c r="A103" s="151"/>
      <c r="J103" s="576" t="str">
        <f>J4</f>
        <v>+996 (552) 727 607</v>
      </c>
      <c r="K103" s="576"/>
      <c r="L103" s="576"/>
      <c r="M103" s="577"/>
    </row>
    <row r="104" spans="1:23" x14ac:dyDescent="0.3">
      <c r="A104" s="151"/>
      <c r="J104" s="565" t="s">
        <v>337</v>
      </c>
      <c r="K104" s="565"/>
      <c r="L104" s="565"/>
      <c r="M104" s="566"/>
      <c r="O104" s="567" t="str">
        <f>O54</f>
        <v>Оборудование вернули но не оплатили</v>
      </c>
      <c r="P104" s="568"/>
      <c r="Q104" s="568"/>
      <c r="R104" s="568"/>
      <c r="S104" s="568"/>
      <c r="T104" s="568"/>
      <c r="U104" s="568"/>
      <c r="V104" s="568"/>
      <c r="W104" s="569"/>
    </row>
    <row r="105" spans="1:23" x14ac:dyDescent="0.3">
      <c r="A105" s="151"/>
      <c r="M105" s="131"/>
      <c r="O105" s="570"/>
      <c r="P105" s="571"/>
      <c r="Q105" s="571"/>
      <c r="R105" s="571"/>
      <c r="S105" s="571"/>
      <c r="T105" s="571"/>
      <c r="U105" s="571"/>
      <c r="V105" s="571"/>
      <c r="W105" s="572"/>
    </row>
    <row r="106" spans="1:23" x14ac:dyDescent="0.3">
      <c r="A106" s="151"/>
      <c r="M106" s="131"/>
      <c r="O106" s="570"/>
      <c r="P106" s="571"/>
      <c r="Q106" s="571"/>
      <c r="R106" s="571"/>
      <c r="S106" s="571"/>
      <c r="T106" s="571"/>
      <c r="U106" s="571"/>
      <c r="V106" s="571"/>
      <c r="W106" s="572"/>
    </row>
    <row r="107" spans="1:23" ht="19.5" thickBot="1" x14ac:dyDescent="0.35">
      <c r="A107" s="151"/>
      <c r="M107" s="131"/>
      <c r="O107" s="573"/>
      <c r="P107" s="574"/>
      <c r="Q107" s="574"/>
      <c r="R107" s="574"/>
      <c r="S107" s="574"/>
      <c r="T107" s="574"/>
      <c r="U107" s="574"/>
      <c r="V107" s="574"/>
      <c r="W107" s="575"/>
    </row>
    <row r="108" spans="1:23" ht="32.25" thickBot="1" x14ac:dyDescent="0.55000000000000004">
      <c r="A108" s="578" t="s">
        <v>406</v>
      </c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80"/>
    </row>
    <row r="109" spans="1:23" x14ac:dyDescent="0.3">
      <c r="A109" s="151"/>
      <c r="M109" s="131"/>
    </row>
    <row r="110" spans="1:23" x14ac:dyDescent="0.3">
      <c r="A110" s="152"/>
      <c r="B110" s="134"/>
      <c r="C110" s="134"/>
      <c r="D110" s="582" t="s">
        <v>332</v>
      </c>
      <c r="E110" s="582"/>
      <c r="F110" s="583" t="str">
        <f>Дог.!$A$18</f>
        <v>ХХХХ ХХХХ ХХХХ</v>
      </c>
      <c r="G110" s="583"/>
      <c r="H110" s="583"/>
      <c r="I110" s="583"/>
      <c r="J110" s="583"/>
      <c r="K110" s="134"/>
      <c r="L110" s="124" t="str">
        <f>L60</f>
        <v>ХХХХХ</v>
      </c>
      <c r="M110" s="153" t="s">
        <v>254</v>
      </c>
    </row>
    <row r="111" spans="1:23" ht="19.5" thickBot="1" x14ac:dyDescent="0.35">
      <c r="A111" s="151"/>
      <c r="M111" s="131"/>
    </row>
    <row r="112" spans="1:23" ht="19.5" thickBot="1" x14ac:dyDescent="0.35">
      <c r="A112" s="584" t="s">
        <v>343</v>
      </c>
      <c r="B112" s="585"/>
      <c r="C112" s="585"/>
      <c r="D112" s="585"/>
      <c r="E112" s="585"/>
      <c r="F112" s="585"/>
      <c r="G112" s="125">
        <f ca="1">G62</f>
        <v>9</v>
      </c>
      <c r="H112" s="126">
        <f ca="1">H62</f>
        <v>1</v>
      </c>
      <c r="I112" s="126">
        <f ca="1">I62</f>
        <v>2026</v>
      </c>
      <c r="J112" s="231">
        <f ca="1">J62</f>
        <v>46031.871582060186</v>
      </c>
      <c r="K112" s="128" t="s">
        <v>256</v>
      </c>
      <c r="L112" s="133">
        <f ca="1">L62</f>
        <v>46031</v>
      </c>
      <c r="M112" s="131"/>
    </row>
    <row r="113" spans="1:13" x14ac:dyDescent="0.3">
      <c r="A113" s="584" t="s">
        <v>497</v>
      </c>
      <c r="B113" s="585"/>
      <c r="C113" s="585"/>
      <c r="D113" s="585"/>
      <c r="E113" s="585"/>
      <c r="F113" s="585"/>
      <c r="G113" s="585"/>
      <c r="H113" s="585"/>
      <c r="I113" s="585"/>
      <c r="J113" s="585"/>
      <c r="K113" s="585"/>
      <c r="L113" s="585"/>
      <c r="M113" s="588"/>
    </row>
    <row r="114" spans="1:13" x14ac:dyDescent="0.3">
      <c r="A114" s="584" t="s">
        <v>502</v>
      </c>
      <c r="B114" s="585"/>
      <c r="C114" s="585"/>
      <c r="D114" s="585"/>
      <c r="E114" s="585"/>
      <c r="F114" s="585"/>
      <c r="G114" s="585"/>
      <c r="H114" s="585"/>
      <c r="I114" s="585"/>
      <c r="J114" s="585"/>
      <c r="K114" s="585"/>
      <c r="L114" s="585"/>
      <c r="M114" s="588"/>
    </row>
    <row r="115" spans="1:13" ht="19.5" thickBot="1" x14ac:dyDescent="0.35">
      <c r="A115" s="589" t="s">
        <v>513</v>
      </c>
      <c r="B115" s="590"/>
      <c r="C115" s="590"/>
      <c r="D115" s="590"/>
      <c r="E115" s="590"/>
      <c r="F115" s="590"/>
      <c r="G115" s="590"/>
      <c r="H115" s="590"/>
      <c r="I115" s="590"/>
      <c r="J115" s="590"/>
      <c r="K115" s="590"/>
      <c r="L115" s="590"/>
      <c r="M115" s="591"/>
    </row>
    <row r="116" spans="1:13" ht="19.5" thickBot="1" x14ac:dyDescent="0.35">
      <c r="A116" s="623">
        <f ca="1">A66</f>
        <v>46032</v>
      </c>
      <c r="B116" s="62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55"/>
    </row>
    <row r="117" spans="1:13" x14ac:dyDescent="0.3">
      <c r="A117" s="589" t="s">
        <v>518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0"/>
      <c r="M117" s="591"/>
    </row>
    <row r="118" spans="1:13" x14ac:dyDescent="0.3">
      <c r="A118" s="594" t="s">
        <v>512</v>
      </c>
      <c r="B118" s="590"/>
      <c r="C118" s="590"/>
      <c r="D118" s="590"/>
      <c r="E118" s="590"/>
      <c r="F118" s="590"/>
      <c r="G118" s="590"/>
      <c r="H118" s="590"/>
      <c r="I118" s="590"/>
      <c r="J118" s="590"/>
      <c r="K118" s="590"/>
      <c r="L118" s="590"/>
      <c r="M118" s="591"/>
    </row>
    <row r="119" spans="1:13" x14ac:dyDescent="0.3">
      <c r="A119" s="592" t="str">
        <f>H101</f>
        <v>З. М.</v>
      </c>
      <c r="B119" s="593"/>
      <c r="C119" s="593" t="s">
        <v>385</v>
      </c>
      <c r="D119" s="593"/>
      <c r="E119" s="593"/>
      <c r="F119" s="133">
        <f ca="1">F69</f>
        <v>46031</v>
      </c>
      <c r="G119" s="590" t="s">
        <v>408</v>
      </c>
      <c r="H119" s="590"/>
      <c r="I119" s="590"/>
      <c r="J119" s="590"/>
      <c r="K119" s="590"/>
      <c r="L119" s="590"/>
      <c r="M119" s="591"/>
    </row>
    <row r="120" spans="1:13" x14ac:dyDescent="0.3">
      <c r="A120" s="589" t="s">
        <v>407</v>
      </c>
      <c r="B120" s="590"/>
      <c r="C120" s="590"/>
      <c r="D120" s="590"/>
      <c r="E120" s="590"/>
      <c r="F120" s="590"/>
      <c r="G120" s="590"/>
      <c r="H120" s="590"/>
      <c r="I120" s="590"/>
      <c r="J120" s="590"/>
      <c r="K120" s="590"/>
      <c r="L120" s="590"/>
      <c r="M120" s="591"/>
    </row>
    <row r="121" spans="1:13" x14ac:dyDescent="0.3">
      <c r="A121" s="589" t="s">
        <v>411</v>
      </c>
      <c r="B121" s="590"/>
      <c r="C121" s="600">
        <f ca="1">'Акт расч'!P49</f>
        <v>-3000</v>
      </c>
      <c r="D121" s="600"/>
      <c r="E121" s="143"/>
      <c r="F121" s="143"/>
      <c r="G121" s="143"/>
      <c r="H121" s="143"/>
      <c r="I121" s="143"/>
      <c r="J121" s="143"/>
      <c r="K121" s="143"/>
      <c r="L121" s="143"/>
      <c r="M121" s="161"/>
    </row>
    <row r="122" spans="1:13" x14ac:dyDescent="0.3">
      <c r="A122" s="589" t="s">
        <v>409</v>
      </c>
      <c r="B122" s="590"/>
      <c r="C122" s="590"/>
      <c r="D122" s="590"/>
      <c r="E122" s="590"/>
      <c r="F122" s="590"/>
      <c r="G122" s="590"/>
      <c r="H122" s="590"/>
      <c r="I122" s="590"/>
      <c r="J122" s="590"/>
      <c r="K122" s="590"/>
      <c r="L122" s="590"/>
      <c r="M122" s="591"/>
    </row>
    <row r="123" spans="1:13" x14ac:dyDescent="0.3">
      <c r="A123" s="584" t="s">
        <v>516</v>
      </c>
      <c r="B123" s="585"/>
      <c r="C123" s="585"/>
      <c r="D123" s="585"/>
      <c r="E123" s="585"/>
      <c r="F123" s="585"/>
      <c r="G123" s="585"/>
      <c r="H123" s="585"/>
      <c r="I123" s="585"/>
      <c r="J123" s="585"/>
      <c r="K123" s="585"/>
      <c r="L123" s="585"/>
      <c r="M123" s="588"/>
    </row>
    <row r="124" spans="1:13" ht="28.5" x14ac:dyDescent="0.45">
      <c r="A124" s="614" t="s">
        <v>423</v>
      </c>
      <c r="B124" s="615"/>
      <c r="C124" s="615"/>
      <c r="D124" s="615"/>
      <c r="E124" s="615"/>
      <c r="F124" s="615"/>
      <c r="G124" s="615"/>
      <c r="H124" s="615"/>
      <c r="I124" s="615"/>
      <c r="J124" s="615"/>
      <c r="K124" s="615"/>
      <c r="L124" s="615"/>
      <c r="M124" s="616"/>
    </row>
    <row r="125" spans="1:13" x14ac:dyDescent="0.3">
      <c r="A125" s="584" t="s">
        <v>482</v>
      </c>
      <c r="B125" s="585"/>
      <c r="C125" s="585"/>
      <c r="D125" s="585"/>
      <c r="E125" s="585"/>
      <c r="F125" s="585"/>
      <c r="G125" s="585"/>
      <c r="H125" s="585"/>
      <c r="I125" s="585"/>
      <c r="J125" s="585"/>
      <c r="K125" s="585"/>
      <c r="L125" s="585"/>
      <c r="M125" s="588"/>
    </row>
    <row r="126" spans="1:13" x14ac:dyDescent="0.3">
      <c r="A126" s="584" t="s">
        <v>480</v>
      </c>
      <c r="B126" s="585"/>
      <c r="C126" s="585"/>
      <c r="D126" s="585"/>
      <c r="E126" s="585"/>
      <c r="F126" s="585"/>
      <c r="G126" s="585"/>
      <c r="H126" s="585"/>
      <c r="I126" s="585"/>
      <c r="J126" s="585"/>
      <c r="K126" s="585"/>
      <c r="L126" s="585"/>
      <c r="M126" s="588"/>
    </row>
    <row r="127" spans="1:13" x14ac:dyDescent="0.3">
      <c r="A127" s="584" t="s">
        <v>481</v>
      </c>
      <c r="B127" s="585"/>
      <c r="C127" s="585"/>
      <c r="D127" s="585"/>
      <c r="E127" s="585"/>
      <c r="F127" s="585"/>
      <c r="G127" s="585"/>
      <c r="H127" s="585"/>
      <c r="I127" s="585"/>
      <c r="J127" s="585"/>
      <c r="K127" s="585"/>
      <c r="L127" s="585"/>
      <c r="M127" s="588"/>
    </row>
    <row r="128" spans="1:13" x14ac:dyDescent="0.3">
      <c r="A128" s="584" t="s">
        <v>339</v>
      </c>
      <c r="B128" s="585"/>
      <c r="C128" s="585"/>
      <c r="D128" s="585"/>
      <c r="E128" s="585"/>
      <c r="F128" s="585"/>
      <c r="G128" s="585"/>
      <c r="H128" s="585"/>
      <c r="I128" s="585"/>
      <c r="J128" s="585"/>
      <c r="K128" s="585"/>
      <c r="L128" s="585"/>
      <c r="M128" s="588"/>
    </row>
    <row r="129" spans="1:13" x14ac:dyDescent="0.3">
      <c r="A129" s="584" t="s">
        <v>340</v>
      </c>
      <c r="B129" s="585"/>
      <c r="C129" s="585"/>
      <c r="D129" s="585"/>
      <c r="E129" s="585"/>
      <c r="F129" s="585"/>
      <c r="G129" s="585"/>
      <c r="H129" s="585"/>
      <c r="I129" s="585"/>
      <c r="J129" s="585"/>
      <c r="K129" s="585"/>
      <c r="L129" s="585"/>
      <c r="M129" s="588"/>
    </row>
    <row r="130" spans="1:13" x14ac:dyDescent="0.3">
      <c r="A130" s="597" t="s">
        <v>344</v>
      </c>
      <c r="B130" s="598"/>
      <c r="C130" s="598"/>
      <c r="D130" s="598"/>
      <c r="E130" s="598"/>
      <c r="F130" s="598"/>
      <c r="G130" s="598"/>
      <c r="H130" s="598"/>
      <c r="I130" s="598"/>
      <c r="J130" s="598"/>
      <c r="K130" s="598"/>
      <c r="L130" s="598"/>
      <c r="M130" s="599"/>
    </row>
    <row r="131" spans="1:13" x14ac:dyDescent="0.3">
      <c r="A131" s="597" t="s">
        <v>347</v>
      </c>
      <c r="B131" s="598"/>
      <c r="C131" s="598"/>
      <c r="D131" s="598"/>
      <c r="E131" s="598"/>
      <c r="F131" s="598"/>
      <c r="G131" s="598"/>
      <c r="H131" s="598"/>
      <c r="I131" s="598"/>
      <c r="J131" s="598"/>
      <c r="K131" s="598"/>
      <c r="L131" s="598"/>
      <c r="M131" s="599"/>
    </row>
    <row r="132" spans="1:13" x14ac:dyDescent="0.3">
      <c r="A132" s="597" t="s">
        <v>345</v>
      </c>
      <c r="B132" s="598"/>
      <c r="C132" s="598"/>
      <c r="D132" s="598"/>
      <c r="E132" s="598"/>
      <c r="F132" s="598"/>
      <c r="G132" s="598"/>
      <c r="H132" s="598"/>
      <c r="I132" s="598"/>
      <c r="J132" s="598"/>
      <c r="K132" s="598"/>
      <c r="L132" s="598"/>
      <c r="M132" s="599"/>
    </row>
    <row r="133" spans="1:13" x14ac:dyDescent="0.3">
      <c r="A133" s="597" t="s">
        <v>346</v>
      </c>
      <c r="B133" s="598"/>
      <c r="C133" s="598"/>
      <c r="D133" s="598"/>
      <c r="E133" s="598"/>
      <c r="F133" s="598"/>
      <c r="G133" s="598"/>
      <c r="H133" s="598"/>
      <c r="I133" s="598"/>
      <c r="J133" s="598"/>
      <c r="K133" s="598"/>
      <c r="L133" s="598"/>
      <c r="M133" s="599"/>
    </row>
    <row r="134" spans="1:13" x14ac:dyDescent="0.3">
      <c r="A134" s="594" t="s">
        <v>479</v>
      </c>
      <c r="B134" s="595"/>
      <c r="C134" s="595"/>
      <c r="D134" s="595"/>
      <c r="E134" s="595"/>
      <c r="F134" s="595"/>
      <c r="G134" s="595"/>
      <c r="H134" s="595"/>
      <c r="I134" s="595"/>
      <c r="J134" s="595"/>
      <c r="K134" s="595"/>
      <c r="L134" s="595"/>
      <c r="M134" s="596"/>
    </row>
    <row r="135" spans="1:13" x14ac:dyDescent="0.3">
      <c r="A135" s="594" t="s">
        <v>412</v>
      </c>
      <c r="B135" s="595"/>
      <c r="C135" s="595"/>
      <c r="D135" s="595"/>
      <c r="E135" s="595"/>
      <c r="F135" s="595"/>
      <c r="G135" s="595"/>
      <c r="H135" s="595"/>
      <c r="I135" s="595"/>
      <c r="J135" s="595"/>
      <c r="K135" s="595"/>
      <c r="L135" s="595"/>
      <c r="M135" s="596"/>
    </row>
    <row r="136" spans="1:13" x14ac:dyDescent="0.3">
      <c r="A136" s="594" t="s">
        <v>414</v>
      </c>
      <c r="B136" s="595"/>
      <c r="C136" s="595"/>
      <c r="D136" s="595"/>
      <c r="E136" s="595"/>
      <c r="F136" s="595"/>
      <c r="G136" s="595"/>
      <c r="H136" s="595"/>
      <c r="I136" s="595"/>
      <c r="J136" s="595"/>
      <c r="K136" s="595"/>
      <c r="L136" s="595"/>
      <c r="M136" s="596"/>
    </row>
    <row r="137" spans="1:13" x14ac:dyDescent="0.3">
      <c r="A137" s="594" t="s">
        <v>413</v>
      </c>
      <c r="B137" s="595"/>
      <c r="C137" s="595"/>
      <c r="D137" s="595"/>
      <c r="E137" s="595"/>
      <c r="F137" s="595"/>
      <c r="G137" s="595"/>
      <c r="H137" s="595"/>
      <c r="I137" s="595"/>
      <c r="J137" s="595"/>
      <c r="K137" s="595"/>
      <c r="L137" s="595"/>
      <c r="M137" s="596"/>
    </row>
    <row r="138" spans="1:13" x14ac:dyDescent="0.3">
      <c r="A138" s="584" t="s">
        <v>548</v>
      </c>
      <c r="B138" s="585"/>
      <c r="C138" s="585"/>
      <c r="D138" s="585"/>
      <c r="E138" s="585"/>
      <c r="F138" s="585"/>
      <c r="G138" s="585"/>
      <c r="H138" s="585"/>
      <c r="I138" s="585"/>
      <c r="J138" s="585"/>
      <c r="K138" s="585"/>
      <c r="L138" s="585"/>
      <c r="M138" s="588"/>
    </row>
    <row r="139" spans="1:13" x14ac:dyDescent="0.3">
      <c r="A139" s="584" t="s">
        <v>415</v>
      </c>
      <c r="B139" s="585"/>
      <c r="C139" s="585"/>
      <c r="D139" s="585"/>
      <c r="E139" s="585"/>
      <c r="F139" s="585"/>
      <c r="G139" s="585"/>
      <c r="H139" s="585"/>
      <c r="I139" s="585"/>
      <c r="J139" s="585"/>
      <c r="K139" s="585"/>
      <c r="L139" s="585"/>
      <c r="M139" s="588"/>
    </row>
    <row r="140" spans="1:13" x14ac:dyDescent="0.3">
      <c r="A140" s="597" t="s">
        <v>348</v>
      </c>
      <c r="B140" s="598"/>
      <c r="C140" s="598"/>
      <c r="D140" s="598"/>
      <c r="E140" s="598"/>
      <c r="F140" s="598"/>
      <c r="G140" s="598"/>
      <c r="H140" s="598"/>
      <c r="I140" s="598"/>
      <c r="J140" s="598"/>
      <c r="K140" s="598"/>
      <c r="L140" s="598"/>
      <c r="M140" s="599"/>
    </row>
    <row r="141" spans="1:13" x14ac:dyDescent="0.3">
      <c r="A141" s="597" t="s">
        <v>416</v>
      </c>
      <c r="B141" s="598"/>
      <c r="C141" s="598"/>
      <c r="D141" s="598"/>
      <c r="E141" s="598"/>
      <c r="F141" s="598"/>
      <c r="G141" s="598"/>
      <c r="H141" s="598"/>
      <c r="I141" s="598"/>
      <c r="J141" s="598"/>
      <c r="K141" s="598"/>
      <c r="L141" s="598"/>
      <c r="M141" s="599"/>
    </row>
    <row r="142" spans="1:13" x14ac:dyDescent="0.3">
      <c r="A142" s="597" t="s">
        <v>417</v>
      </c>
      <c r="B142" s="598"/>
      <c r="C142" s="598"/>
      <c r="D142" s="598"/>
      <c r="E142" s="598"/>
      <c r="F142" s="598"/>
      <c r="G142" s="598"/>
      <c r="H142" s="598"/>
      <c r="I142" s="598"/>
      <c r="J142" s="598"/>
      <c r="K142" s="598"/>
      <c r="L142" s="598"/>
      <c r="M142" s="599"/>
    </row>
    <row r="143" spans="1:13" x14ac:dyDescent="0.3">
      <c r="A143" s="584" t="s">
        <v>487</v>
      </c>
      <c r="B143" s="585"/>
      <c r="C143" s="585"/>
      <c r="D143" s="585"/>
      <c r="E143" s="585"/>
      <c r="F143" s="585"/>
      <c r="G143" s="585"/>
      <c r="H143" s="585"/>
      <c r="I143" s="585"/>
      <c r="J143" s="585"/>
      <c r="K143" s="585"/>
      <c r="L143" s="585"/>
      <c r="M143" s="588"/>
    </row>
    <row r="144" spans="1:13" x14ac:dyDescent="0.3">
      <c r="A144" s="584" t="s">
        <v>422</v>
      </c>
      <c r="B144" s="585"/>
      <c r="C144" s="585"/>
      <c r="D144" s="585"/>
      <c r="E144" s="585"/>
      <c r="F144" s="585"/>
      <c r="G144" s="585"/>
      <c r="H144" s="585"/>
      <c r="I144" s="585"/>
      <c r="J144" s="585"/>
      <c r="K144" s="585"/>
      <c r="L144" s="585"/>
      <c r="M144" s="588"/>
    </row>
    <row r="145" spans="1:13" x14ac:dyDescent="0.3">
      <c r="A145" s="584" t="s">
        <v>486</v>
      </c>
      <c r="B145" s="585"/>
      <c r="C145" s="585"/>
      <c r="D145" s="585"/>
      <c r="E145" s="585"/>
      <c r="F145" s="585"/>
      <c r="G145" s="585"/>
      <c r="H145" s="585"/>
      <c r="I145" s="585"/>
      <c r="J145" s="585"/>
      <c r="K145" s="585"/>
      <c r="L145" s="585"/>
      <c r="M145" s="588"/>
    </row>
    <row r="146" spans="1:13" x14ac:dyDescent="0.3">
      <c r="A146" s="594" t="s">
        <v>418</v>
      </c>
      <c r="B146" s="595"/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6"/>
    </row>
    <row r="147" spans="1:13" x14ac:dyDescent="0.3">
      <c r="A147" s="594" t="s">
        <v>552</v>
      </c>
      <c r="B147" s="595"/>
      <c r="C147" s="595"/>
      <c r="D147" s="595"/>
      <c r="E147" s="595"/>
      <c r="F147" s="595"/>
      <c r="G147" s="595"/>
      <c r="H147" s="595"/>
      <c r="I147" s="595"/>
      <c r="J147" s="595"/>
      <c r="K147" s="595"/>
      <c r="L147" s="595"/>
      <c r="M147" s="596"/>
    </row>
    <row r="148" spans="1:13" x14ac:dyDescent="0.3">
      <c r="A148" s="622"/>
      <c r="B148" s="598"/>
      <c r="C148" s="598"/>
      <c r="D148" s="598"/>
      <c r="E148" s="598"/>
      <c r="F148" s="598"/>
      <c r="G148" s="598"/>
      <c r="H148" s="598"/>
      <c r="I148" s="598"/>
      <c r="J148" s="598"/>
      <c r="K148" s="598"/>
      <c r="L148" s="598"/>
      <c r="M148" s="599"/>
    </row>
    <row r="149" spans="1:13" x14ac:dyDescent="0.3">
      <c r="A149" s="597"/>
      <c r="B149" s="598"/>
      <c r="C149" s="598"/>
      <c r="D149" s="598"/>
      <c r="E149" s="598"/>
      <c r="F149" s="598"/>
      <c r="G149" s="598"/>
      <c r="H149" s="598"/>
      <c r="I149" s="598"/>
      <c r="J149" s="598"/>
      <c r="K149" s="598"/>
      <c r="L149" s="598"/>
      <c r="M149" s="599"/>
    </row>
    <row r="150" spans="1:13" x14ac:dyDescent="0.3">
      <c r="A150" s="584"/>
      <c r="B150" s="585"/>
      <c r="C150" s="585"/>
      <c r="D150" s="585"/>
      <c r="E150" s="585"/>
      <c r="F150" s="585"/>
      <c r="G150" s="585"/>
      <c r="H150" s="585"/>
      <c r="I150" s="585"/>
      <c r="J150" s="585"/>
      <c r="K150" s="585"/>
      <c r="L150" s="585"/>
      <c r="M150" s="588"/>
    </row>
    <row r="151" spans="1:13" x14ac:dyDescent="0.3">
      <c r="A151" s="584"/>
      <c r="B151" s="585"/>
      <c r="C151" s="585"/>
      <c r="D151" s="585"/>
      <c r="E151" s="585"/>
      <c r="F151" s="585"/>
      <c r="G151" s="585"/>
      <c r="H151" s="585"/>
      <c r="I151" s="585"/>
      <c r="J151" s="585"/>
      <c r="K151" s="585"/>
      <c r="L151" s="585"/>
      <c r="M151" s="588"/>
    </row>
    <row r="152" spans="1:13" ht="21" x14ac:dyDescent="0.35">
      <c r="A152" s="617" t="s">
        <v>424</v>
      </c>
      <c r="B152" s="366"/>
      <c r="C152" s="366"/>
      <c r="D152" s="366"/>
      <c r="E152" s="366"/>
      <c r="F152" s="366"/>
      <c r="G152" s="366"/>
      <c r="H152" s="366"/>
      <c r="I152" s="366"/>
      <c r="J152" s="366"/>
      <c r="K152" s="366"/>
      <c r="L152" s="366"/>
      <c r="M152" s="618"/>
    </row>
    <row r="153" spans="1:13" ht="21" x14ac:dyDescent="0.35">
      <c r="A153" s="617" t="s">
        <v>341</v>
      </c>
      <c r="B153" s="366"/>
      <c r="C153" s="366"/>
      <c r="D153" s="366"/>
      <c r="E153" s="366"/>
      <c r="F153" s="366"/>
      <c r="G153" s="619" t="str">
        <f>Дог.!M7</f>
        <v>+996 (552) 727 607</v>
      </c>
      <c r="H153" s="619"/>
      <c r="I153" s="620" t="s">
        <v>425</v>
      </c>
      <c r="J153" s="620"/>
      <c r="K153" s="620"/>
      <c r="L153" s="620"/>
      <c r="M153" s="621"/>
    </row>
    <row r="154" spans="1:13" ht="21" x14ac:dyDescent="0.35">
      <c r="A154" s="617" t="s">
        <v>342</v>
      </c>
      <c r="B154" s="366"/>
      <c r="C154" s="366"/>
      <c r="D154" s="366"/>
      <c r="E154" s="366"/>
      <c r="F154" s="366"/>
      <c r="G154" s="366"/>
      <c r="H154" s="366"/>
      <c r="I154" s="366"/>
      <c r="J154" s="366"/>
      <c r="K154" s="366"/>
      <c r="L154" s="366"/>
      <c r="M154" s="618"/>
    </row>
    <row r="155" spans="1:13" x14ac:dyDescent="0.3">
      <c r="A155" s="163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64"/>
    </row>
    <row r="156" spans="1:13" x14ac:dyDescent="0.3">
      <c r="A156" s="151"/>
      <c r="C156" s="133"/>
      <c r="D156" s="128"/>
      <c r="M156" s="131"/>
    </row>
    <row r="157" spans="1:13" x14ac:dyDescent="0.3">
      <c r="A157" s="151"/>
      <c r="M157" s="131"/>
    </row>
    <row r="158" spans="1:13" x14ac:dyDescent="0.3">
      <c r="A158" s="151"/>
      <c r="B158" s="127" t="s">
        <v>78</v>
      </c>
      <c r="C158" s="604">
        <f ca="1">F119</f>
        <v>46031</v>
      </c>
      <c r="D158" s="604"/>
      <c r="G158" s="306" t="str">
        <f>G95</f>
        <v>З. М.</v>
      </c>
      <c r="H158" s="306"/>
      <c r="I158" s="306"/>
      <c r="J158" s="606"/>
      <c r="K158" s="606"/>
      <c r="L158" s="606"/>
      <c r="M158" s="607"/>
    </row>
    <row r="159" spans="1:13" x14ac:dyDescent="0.3">
      <c r="A159" s="151"/>
      <c r="J159" s="586" t="s">
        <v>335</v>
      </c>
      <c r="K159" s="586"/>
      <c r="L159" s="586"/>
      <c r="M159" s="587"/>
    </row>
    <row r="160" spans="1:13" x14ac:dyDescent="0.3">
      <c r="A160" s="151"/>
      <c r="M160" s="131"/>
    </row>
    <row r="161" spans="1:13" x14ac:dyDescent="0.3">
      <c r="A161" s="151"/>
      <c r="M161" s="131"/>
    </row>
    <row r="162" spans="1:13" ht="19.5" thickBot="1" x14ac:dyDescent="0.35">
      <c r="A162" s="158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60"/>
    </row>
  </sheetData>
  <mergeCells count="150">
    <mergeCell ref="A18:M18"/>
    <mergeCell ref="A19:M19"/>
    <mergeCell ref="A23:B23"/>
    <mergeCell ref="C23:D23"/>
    <mergeCell ref="E23:M23"/>
    <mergeCell ref="A25:M25"/>
    <mergeCell ref="A26:M26"/>
    <mergeCell ref="A27:M27"/>
    <mergeCell ref="A20:B20"/>
    <mergeCell ref="C20:E20"/>
    <mergeCell ref="G20:M20"/>
    <mergeCell ref="A21:C21"/>
    <mergeCell ref="D21:E21"/>
    <mergeCell ref="D22:H22"/>
    <mergeCell ref="I22:L22"/>
    <mergeCell ref="H2:M2"/>
    <mergeCell ref="J3:M3"/>
    <mergeCell ref="J4:M4"/>
    <mergeCell ref="J5:M5"/>
    <mergeCell ref="A9:M9"/>
    <mergeCell ref="D11:E11"/>
    <mergeCell ref="F11:J11"/>
    <mergeCell ref="A17:B17"/>
    <mergeCell ref="A16:L16"/>
    <mergeCell ref="A13:F13"/>
    <mergeCell ref="A14:M14"/>
    <mergeCell ref="A15:M15"/>
    <mergeCell ref="A43:M43"/>
    <mergeCell ref="C45:D45"/>
    <mergeCell ref="G45:I45"/>
    <mergeCell ref="J45:M45"/>
    <mergeCell ref="A28:M28"/>
    <mergeCell ref="A29:M29"/>
    <mergeCell ref="A30:M30"/>
    <mergeCell ref="A31:M31"/>
    <mergeCell ref="A36:M36"/>
    <mergeCell ref="A37:M37"/>
    <mergeCell ref="A32:M32"/>
    <mergeCell ref="A33:M33"/>
    <mergeCell ref="A34:M34"/>
    <mergeCell ref="A35:M35"/>
    <mergeCell ref="A40:M40"/>
    <mergeCell ref="A41:M41"/>
    <mergeCell ref="D60:E60"/>
    <mergeCell ref="F60:J60"/>
    <mergeCell ref="A62:F62"/>
    <mergeCell ref="A63:M63"/>
    <mergeCell ref="A64:M64"/>
    <mergeCell ref="J46:M46"/>
    <mergeCell ref="H51:M51"/>
    <mergeCell ref="J52:M52"/>
    <mergeCell ref="J53:M53"/>
    <mergeCell ref="J54:M54"/>
    <mergeCell ref="A58:M58"/>
    <mergeCell ref="A77:M77"/>
    <mergeCell ref="A78:M78"/>
    <mergeCell ref="A79:M79"/>
    <mergeCell ref="A80:M80"/>
    <mergeCell ref="A81:M81"/>
    <mergeCell ref="A82:M82"/>
    <mergeCell ref="A65:M65"/>
    <mergeCell ref="A71:M71"/>
    <mergeCell ref="A73:B73"/>
    <mergeCell ref="C73:D73"/>
    <mergeCell ref="E73:F73"/>
    <mergeCell ref="A75:B75"/>
    <mergeCell ref="C75:D75"/>
    <mergeCell ref="E75:M75"/>
    <mergeCell ref="A67:M67"/>
    <mergeCell ref="A68:M68"/>
    <mergeCell ref="A69:B69"/>
    <mergeCell ref="C69:E69"/>
    <mergeCell ref="G69:M69"/>
    <mergeCell ref="A70:M70"/>
    <mergeCell ref="A66:B66"/>
    <mergeCell ref="A72:M72"/>
    <mergeCell ref="A89:M89"/>
    <mergeCell ref="A91:M91"/>
    <mergeCell ref="C95:D95"/>
    <mergeCell ref="G95:I95"/>
    <mergeCell ref="J95:M95"/>
    <mergeCell ref="J96:M96"/>
    <mergeCell ref="A83:G83"/>
    <mergeCell ref="A84:M84"/>
    <mergeCell ref="A85:M85"/>
    <mergeCell ref="A86:M86"/>
    <mergeCell ref="A87:M87"/>
    <mergeCell ref="A88:M88"/>
    <mergeCell ref="A112:F112"/>
    <mergeCell ref="A113:M113"/>
    <mergeCell ref="A114:M114"/>
    <mergeCell ref="A117:M117"/>
    <mergeCell ref="A118:M118"/>
    <mergeCell ref="H101:M101"/>
    <mergeCell ref="J102:M102"/>
    <mergeCell ref="J103:M103"/>
    <mergeCell ref="J104:M104"/>
    <mergeCell ref="A108:M108"/>
    <mergeCell ref="D110:E110"/>
    <mergeCell ref="F110:J110"/>
    <mergeCell ref="A115:M115"/>
    <mergeCell ref="A116:B116"/>
    <mergeCell ref="A122:M122"/>
    <mergeCell ref="A123:M123"/>
    <mergeCell ref="A124:M124"/>
    <mergeCell ref="A125:M125"/>
    <mergeCell ref="A126:M126"/>
    <mergeCell ref="A127:M127"/>
    <mergeCell ref="A119:B119"/>
    <mergeCell ref="C119:E119"/>
    <mergeCell ref="G119:M119"/>
    <mergeCell ref="A120:M120"/>
    <mergeCell ref="A121:B121"/>
    <mergeCell ref="C121:D121"/>
    <mergeCell ref="A134:M134"/>
    <mergeCell ref="A135:M135"/>
    <mergeCell ref="A136:M136"/>
    <mergeCell ref="A137:M137"/>
    <mergeCell ref="A138:M138"/>
    <mergeCell ref="A139:M139"/>
    <mergeCell ref="A128:M128"/>
    <mergeCell ref="A129:M129"/>
    <mergeCell ref="A130:M130"/>
    <mergeCell ref="A131:M131"/>
    <mergeCell ref="A132:M132"/>
    <mergeCell ref="A133:M133"/>
    <mergeCell ref="J159:M159"/>
    <mergeCell ref="O5:W8"/>
    <mergeCell ref="O54:W57"/>
    <mergeCell ref="O104:W107"/>
    <mergeCell ref="A153:F153"/>
    <mergeCell ref="G153:H153"/>
    <mergeCell ref="I153:M153"/>
    <mergeCell ref="A154:M154"/>
    <mergeCell ref="C158:D158"/>
    <mergeCell ref="G158:I158"/>
    <mergeCell ref="J158:M158"/>
    <mergeCell ref="A148:M148"/>
    <mergeCell ref="A149:M149"/>
    <mergeCell ref="A150:M150"/>
    <mergeCell ref="A151:M151"/>
    <mergeCell ref="A152:M152"/>
    <mergeCell ref="A146:M146"/>
    <mergeCell ref="A147:M147"/>
    <mergeCell ref="A140:M140"/>
    <mergeCell ref="A141:M141"/>
    <mergeCell ref="A142:M142"/>
    <mergeCell ref="A143:M143"/>
    <mergeCell ref="A144:M144"/>
    <mergeCell ref="A145:M14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pageSetUpPr fitToPage="1"/>
  </sheetPr>
  <dimension ref="A3:Q57"/>
  <sheetViews>
    <sheetView showZeros="0" zoomScale="80" zoomScaleNormal="80" workbookViewId="0">
      <selection activeCell="B23" sqref="B23:F24"/>
    </sheetView>
  </sheetViews>
  <sheetFormatPr defaultRowHeight="15" x14ac:dyDescent="0.25"/>
  <cols>
    <col min="6" max="6" width="10.5703125" customWidth="1"/>
    <col min="7" max="7" width="21.85546875" customWidth="1"/>
    <col min="8" max="8" width="9.5703125" customWidth="1"/>
    <col min="9" max="9" width="10.28515625" customWidth="1"/>
    <col min="10" max="10" width="16.5703125" customWidth="1"/>
    <col min="11" max="11" width="12.140625" customWidth="1"/>
    <col min="12" max="12" width="9.28515625" bestFit="1" customWidth="1"/>
    <col min="13" max="13" width="16.140625" bestFit="1" customWidth="1"/>
    <col min="14" max="14" width="12.85546875" bestFit="1" customWidth="1"/>
    <col min="15" max="15" width="11.42578125" customWidth="1"/>
    <col min="16" max="16" width="9.140625" customWidth="1"/>
    <col min="17" max="17" width="14.5703125" customWidth="1"/>
  </cols>
  <sheetData>
    <row r="3" spans="1:17" ht="26.25" x14ac:dyDescent="0.4">
      <c r="A3" s="348" t="s">
        <v>27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</row>
    <row r="4" spans="1:17" ht="27" thickBot="1" x14ac:dyDescent="0.45">
      <c r="A4" s="348" t="s">
        <v>50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</row>
    <row r="5" spans="1:17" ht="21.75" thickBot="1" x14ac:dyDescent="0.4">
      <c r="A5" s="354"/>
      <c r="B5" s="354"/>
      <c r="C5" s="354"/>
      <c r="D5" s="354"/>
      <c r="E5" s="354"/>
      <c r="F5" s="354"/>
      <c r="G5" s="354"/>
      <c r="H5" s="354"/>
      <c r="I5" s="354"/>
      <c r="J5" s="5" t="s">
        <v>12</v>
      </c>
      <c r="K5" s="216">
        <f ca="1">'Пр №1'!J3</f>
        <v>9</v>
      </c>
      <c r="L5" s="217">
        <f ca="1">'Пр №1'!K3</f>
        <v>1</v>
      </c>
      <c r="M5" s="217">
        <f ca="1">'Пр №1'!L3</f>
        <v>2026</v>
      </c>
      <c r="N5" s="223">
        <f ca="1">'Пр №1'!M3</f>
        <v>46031.871582060186</v>
      </c>
      <c r="O5" s="224">
        <f>'Акт расч'!O5</f>
        <v>1</v>
      </c>
    </row>
    <row r="6" spans="1:17" ht="21" x14ac:dyDescent="0.35">
      <c r="A6" s="1"/>
      <c r="B6" s="275" t="str">
        <f>Дог.!B13</f>
        <v xml:space="preserve">г. Бишкек </v>
      </c>
      <c r="C6" s="275"/>
      <c r="D6" s="275"/>
      <c r="E6" s="275"/>
      <c r="F6" s="1"/>
      <c r="G6" s="1"/>
      <c r="H6" s="1"/>
      <c r="I6" s="7" t="str">
        <f>'Пр №1'!I5</f>
        <v xml:space="preserve"> «</v>
      </c>
      <c r="J6" s="5">
        <f ca="1">'Пр №1'!J5</f>
        <v>9</v>
      </c>
      <c r="K6" s="1" t="str">
        <f>'Пр №1'!K5</f>
        <v>»</v>
      </c>
      <c r="L6" s="275" t="str">
        <f ca="1">'Пр №1'!L5</f>
        <v>Январь</v>
      </c>
      <c r="M6" s="275"/>
      <c r="N6" s="1">
        <f ca="1">'Пр №1'!N5</f>
        <v>2026</v>
      </c>
      <c r="O6" s="1" t="str">
        <f>'Пр №1'!O5</f>
        <v>г.</v>
      </c>
    </row>
    <row r="7" spans="1:17" ht="21" x14ac:dyDescent="0.35">
      <c r="A7" s="302" t="str">
        <f>'Акт расч'!A7:E7</f>
        <v xml:space="preserve"> Зинченко Михаил Александрович</v>
      </c>
      <c r="B7" s="302"/>
      <c r="C7" s="302"/>
      <c r="D7" s="302"/>
      <c r="E7" s="302"/>
      <c r="F7" s="302"/>
      <c r="G7" s="353" t="str">
        <f>'Счет '!G7:Q7</f>
        <v>22.12.2006 года рождения, паспорт: ID3219844 выдан MKK 218011 от 12.02.2023 г.</v>
      </c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21" x14ac:dyDescent="0.35">
      <c r="A8" s="350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17" ht="21" x14ac:dyDescent="0.35">
      <c r="A9" s="350" t="str">
        <f>'Пр №1'!A8:Q8</f>
        <v>регистрации индивидуального предпринимателя по Свердловскому району г. Бишкек № 003-2024-169-5930 от 08.08.2024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</row>
    <row r="10" spans="1:17" ht="21" x14ac:dyDescent="0.25">
      <c r="A10" s="349" t="s">
        <v>28</v>
      </c>
      <c r="B10" s="349"/>
      <c r="C10" s="300">
        <f>'Пр №1'!C9:G9</f>
        <v>22212200650516</v>
      </c>
      <c r="D10" s="349"/>
      <c r="E10" s="349"/>
      <c r="F10" s="349"/>
      <c r="G10" s="349"/>
      <c r="H10" s="349" t="s">
        <v>84</v>
      </c>
      <c r="I10" s="349"/>
      <c r="J10" s="349"/>
      <c r="K10" s="349"/>
      <c r="L10" s="349"/>
      <c r="M10" s="349"/>
      <c r="N10" s="349"/>
      <c r="O10" s="349"/>
      <c r="P10" s="349"/>
      <c r="Q10" s="349"/>
    </row>
    <row r="11" spans="1:17" ht="21" x14ac:dyDescent="0.35">
      <c r="A11" s="351" t="str">
        <f>'Акт расч'!A11:H11</f>
        <v>ХХХХ ХХХХ ХХХХ</v>
      </c>
      <c r="B11" s="351"/>
      <c r="C11" s="351"/>
      <c r="D11" s="351"/>
      <c r="E11" s="351"/>
      <c r="F11" s="351"/>
      <c r="G11" s="351"/>
      <c r="H11" s="351"/>
      <c r="I11" s="349" t="s">
        <v>72</v>
      </c>
      <c r="J11" s="349"/>
      <c r="K11" s="349"/>
      <c r="L11" s="349"/>
      <c r="M11" s="349"/>
      <c r="N11" s="349"/>
      <c r="O11" s="349"/>
      <c r="P11" s="349"/>
      <c r="Q11" s="349"/>
    </row>
    <row r="12" spans="1:17" ht="21" x14ac:dyDescent="0.35">
      <c r="A12" s="350" t="str">
        <f>Дог.!A19</f>
        <v xml:space="preserve"> на основании паспорта:</v>
      </c>
      <c r="B12" s="350"/>
      <c r="C12" s="350"/>
      <c r="D12" s="350"/>
      <c r="E12" s="17" t="str">
        <f>Дог.!E19</f>
        <v>ХХХ</v>
      </c>
      <c r="F12" s="17" t="str">
        <f>Дог.!F19</f>
        <v>№</v>
      </c>
      <c r="G12" s="352">
        <v>2529296</v>
      </c>
      <c r="H12" s="352"/>
      <c r="I12" s="14" t="str">
        <f>Дог.!I19</f>
        <v>выдан</v>
      </c>
      <c r="J12" s="17" t="str">
        <f>'Пр №1'!J11</f>
        <v>МКК</v>
      </c>
      <c r="K12" s="17" t="str">
        <f>'Пр №1'!K11</f>
        <v>ХХХХ</v>
      </c>
      <c r="L12" s="17" t="str">
        <f>'Пр №1'!L11</f>
        <v>от</v>
      </c>
      <c r="M12" s="99" t="str">
        <f>'Пр №1'!M11</f>
        <v>ХХХХ</v>
      </c>
      <c r="N12" s="350" t="str">
        <f>Дог.!N19</f>
        <v>зарегистрированный(-ая)</v>
      </c>
      <c r="O12" s="350"/>
      <c r="P12" s="350"/>
      <c r="Q12" s="350"/>
    </row>
    <row r="13" spans="1:17" ht="21" x14ac:dyDescent="0.25">
      <c r="A13" s="349" t="s">
        <v>36</v>
      </c>
      <c r="B13" s="349"/>
      <c r="C13" s="298" t="str">
        <f>'Акт расч'!C13:G13</f>
        <v>Чуйская область г. Бишкек</v>
      </c>
      <c r="D13" s="298"/>
      <c r="E13" s="298"/>
      <c r="F13" s="298"/>
      <c r="G13" s="298"/>
      <c r="H13" s="298"/>
      <c r="I13" s="298" t="str">
        <f>'Акт расч'!H13:M13</f>
        <v>ул. ХХХХХ</v>
      </c>
      <c r="J13" s="298"/>
      <c r="K13" s="298"/>
      <c r="L13" s="298"/>
      <c r="M13" s="298"/>
      <c r="N13" s="349" t="s">
        <v>37</v>
      </c>
      <c r="O13" s="349"/>
      <c r="P13" s="349"/>
      <c r="Q13" s="349"/>
    </row>
    <row r="14" spans="1:17" ht="21" x14ac:dyDescent="0.25">
      <c r="A14" s="298" t="str">
        <f>'Акт расч'!A14:E14</f>
        <v>Чуйская область г. Бишкек</v>
      </c>
      <c r="B14" s="298"/>
      <c r="C14" s="298"/>
      <c r="D14" s="298"/>
      <c r="E14" s="298"/>
      <c r="F14" s="298"/>
      <c r="G14" s="298"/>
      <c r="H14" s="298" t="str">
        <f>'Пр №1'!H13:Q13</f>
        <v>ул. ХХХХХ</v>
      </c>
      <c r="I14" s="298"/>
      <c r="J14" s="298"/>
      <c r="K14" s="298"/>
      <c r="L14" s="298"/>
      <c r="M14" s="298"/>
      <c r="N14" s="298"/>
      <c r="O14" s="298"/>
      <c r="P14" s="298"/>
      <c r="Q14" s="298"/>
    </row>
    <row r="15" spans="1:17" ht="21" x14ac:dyDescent="0.25">
      <c r="A15" s="298" t="s">
        <v>258</v>
      </c>
      <c r="B15" s="298"/>
      <c r="C15" s="301" t="str">
        <f>'Пр №1'!C14:F14</f>
        <v>ХХХХ</v>
      </c>
      <c r="D15" s="301"/>
      <c r="E15" s="301"/>
      <c r="F15" s="301"/>
      <c r="G15" s="298" t="s">
        <v>39</v>
      </c>
      <c r="H15" s="298"/>
      <c r="I15" s="298"/>
      <c r="J15" s="298"/>
      <c r="K15" s="298">
        <f>'Пр №1'!K14:P14</f>
        <v>0</v>
      </c>
      <c r="L15" s="298"/>
      <c r="M15" s="298"/>
      <c r="N15" s="298"/>
      <c r="O15" s="298"/>
      <c r="P15" s="298"/>
      <c r="Q15" s="20"/>
    </row>
    <row r="16" spans="1:17" ht="21.75" thickBot="1" x14ac:dyDescent="0.4">
      <c r="A16" s="276" t="s">
        <v>52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</row>
    <row r="17" spans="1:17" ht="21.75" thickBot="1" x14ac:dyDescent="0.4">
      <c r="A17" s="276" t="s">
        <v>47</v>
      </c>
      <c r="B17" s="276"/>
      <c r="C17" s="276"/>
      <c r="D17" s="276"/>
      <c r="E17" s="5" t="s">
        <v>12</v>
      </c>
      <c r="F17" s="216">
        <f ca="1">K5</f>
        <v>9</v>
      </c>
      <c r="G17" s="217">
        <f ca="1">L5</f>
        <v>1</v>
      </c>
      <c r="H17" s="217">
        <f ca="1">M5</f>
        <v>2026</v>
      </c>
      <c r="I17" s="223">
        <f ca="1">N5</f>
        <v>46031.871582060186</v>
      </c>
      <c r="J17" s="218">
        <f>O5</f>
        <v>1</v>
      </c>
      <c r="K17" s="3" t="s">
        <v>75</v>
      </c>
      <c r="L17" s="3"/>
      <c r="M17" s="3"/>
      <c r="N17" s="3"/>
      <c r="O17" s="3"/>
      <c r="P17" s="3"/>
      <c r="Q17" s="3"/>
    </row>
    <row r="18" spans="1:17" ht="21.75" thickBot="1" x14ac:dyDescent="0.4">
      <c r="A18" s="293" t="s">
        <v>51</v>
      </c>
      <c r="B18" s="293"/>
      <c r="C18" s="293"/>
      <c r="D18" s="293"/>
      <c r="E18" s="293"/>
      <c r="F18" s="293"/>
      <c r="G18" s="293"/>
      <c r="H18" s="293"/>
      <c r="I18" s="293"/>
      <c r="J18" s="5" t="s">
        <v>12</v>
      </c>
      <c r="K18" s="216">
        <f ca="1">K5</f>
        <v>9</v>
      </c>
      <c r="L18" s="217">
        <f ca="1">L5</f>
        <v>1</v>
      </c>
      <c r="M18" s="217">
        <f ca="1">M5</f>
        <v>2026</v>
      </c>
      <c r="N18" s="223">
        <f ca="1">N5</f>
        <v>46031.871582060186</v>
      </c>
      <c r="O18" s="224">
        <f>O5</f>
        <v>1</v>
      </c>
    </row>
    <row r="19" spans="1:17" ht="21" x14ac:dyDescent="0.35">
      <c r="A19" s="290" t="s">
        <v>56</v>
      </c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</row>
    <row r="20" spans="1:17" ht="63" x14ac:dyDescent="0.25">
      <c r="A20" s="95" t="s">
        <v>12</v>
      </c>
      <c r="B20" s="380" t="s">
        <v>376</v>
      </c>
      <c r="C20" s="381"/>
      <c r="D20" s="381"/>
      <c r="E20" s="381"/>
      <c r="F20" s="382"/>
      <c r="G20" s="93" t="s">
        <v>281</v>
      </c>
      <c r="H20" s="376" t="s">
        <v>13</v>
      </c>
      <c r="I20" s="376"/>
      <c r="J20" s="94" t="s">
        <v>282</v>
      </c>
      <c r="K20" s="95" t="s">
        <v>283</v>
      </c>
      <c r="L20" s="95" t="s">
        <v>284</v>
      </c>
      <c r="M20" s="95" t="s">
        <v>60</v>
      </c>
      <c r="N20" s="376" t="s">
        <v>61</v>
      </c>
      <c r="O20" s="376"/>
      <c r="P20" s="381" t="s">
        <v>68</v>
      </c>
      <c r="Q20" s="382"/>
    </row>
    <row r="21" spans="1:17" ht="21" x14ac:dyDescent="0.25">
      <c r="A21" s="328">
        <v>1</v>
      </c>
      <c r="B21" s="328" t="str">
        <f>'Пр №1'!B20</f>
        <v>XXXXXXX</v>
      </c>
      <c r="C21" s="328"/>
      <c r="D21" s="328"/>
      <c r="E21" s="328"/>
      <c r="F21" s="328"/>
      <c r="G21" s="347">
        <f>'Акт прием'!N21</f>
        <v>35000</v>
      </c>
      <c r="H21" s="637">
        <f ca="1">'Пр №1'!J20</f>
        <v>46031.871582060186</v>
      </c>
      <c r="I21" s="328"/>
      <c r="J21" s="102">
        <f ca="1">'Пр №1'!J20</f>
        <v>46031.871582060186</v>
      </c>
      <c r="K21" s="328">
        <f>'Пр №1'!I20</f>
        <v>1</v>
      </c>
      <c r="L21" s="328">
        <f ca="1">J22-H22</f>
        <v>0</v>
      </c>
      <c r="M21" s="347" t="s">
        <v>64</v>
      </c>
      <c r="N21" s="347">
        <f>'Пр №1'!N20</f>
        <v>1500</v>
      </c>
      <c r="O21" s="347"/>
      <c r="P21" s="347">
        <f ca="1">K21*L21*N21</f>
        <v>0</v>
      </c>
      <c r="Q21" s="328"/>
    </row>
    <row r="22" spans="1:17" ht="21" x14ac:dyDescent="0.25">
      <c r="A22" s="328"/>
      <c r="B22" s="328"/>
      <c r="C22" s="328"/>
      <c r="D22" s="328"/>
      <c r="E22" s="328"/>
      <c r="F22" s="328"/>
      <c r="G22" s="347"/>
      <c r="H22" s="638">
        <f ca="1">'Акт расч'!F21</f>
        <v>46031</v>
      </c>
      <c r="I22" s="328"/>
      <c r="J22" s="103">
        <f ca="1">'Пр №1'!J21</f>
        <v>46031</v>
      </c>
      <c r="K22" s="328"/>
      <c r="L22" s="328"/>
      <c r="M22" s="347"/>
      <c r="N22" s="347"/>
      <c r="O22" s="347"/>
      <c r="P22" s="328"/>
      <c r="Q22" s="328"/>
    </row>
    <row r="23" spans="1:17" ht="21" x14ac:dyDescent="0.25">
      <c r="A23" s="328">
        <v>2</v>
      </c>
      <c r="B23" s="328">
        <f>'Пр №1'!B22</f>
        <v>0</v>
      </c>
      <c r="C23" s="328"/>
      <c r="D23" s="328"/>
      <c r="E23" s="328"/>
      <c r="F23" s="328"/>
      <c r="G23" s="347">
        <f>'Акт прием'!N23</f>
        <v>0</v>
      </c>
      <c r="H23" s="637"/>
      <c r="I23" s="328"/>
      <c r="J23" s="102"/>
      <c r="K23" s="328">
        <f>'Пр №1'!I22</f>
        <v>0</v>
      </c>
      <c r="L23" s="328">
        <f t="shared" ref="L23" si="0">J24-H24</f>
        <v>0</v>
      </c>
      <c r="M23" s="347"/>
      <c r="N23" s="347">
        <f>'Пр №1'!N22</f>
        <v>0</v>
      </c>
      <c r="O23" s="347"/>
      <c r="P23" s="347">
        <f t="shared" ref="P23" si="1">K23*L23*N23</f>
        <v>0</v>
      </c>
      <c r="Q23" s="328"/>
    </row>
    <row r="24" spans="1:17" ht="21" x14ac:dyDescent="0.25">
      <c r="A24" s="328"/>
      <c r="B24" s="328"/>
      <c r="C24" s="328"/>
      <c r="D24" s="328"/>
      <c r="E24" s="328"/>
      <c r="F24" s="328"/>
      <c r="G24" s="347"/>
      <c r="H24" s="638"/>
      <c r="I24" s="328"/>
      <c r="J24" s="103"/>
      <c r="K24" s="328"/>
      <c r="L24" s="328"/>
      <c r="M24" s="347"/>
      <c r="N24" s="347"/>
      <c r="O24" s="347"/>
      <c r="P24" s="328"/>
      <c r="Q24" s="328"/>
    </row>
    <row r="25" spans="1:17" ht="21" x14ac:dyDescent="0.25">
      <c r="A25" s="328">
        <v>3</v>
      </c>
      <c r="B25" s="328">
        <f>'Пр №1'!B24</f>
        <v>0</v>
      </c>
      <c r="C25" s="328"/>
      <c r="D25" s="328"/>
      <c r="E25" s="328"/>
      <c r="F25" s="328"/>
      <c r="G25" s="347">
        <f>'Акт прием'!N25</f>
        <v>0</v>
      </c>
      <c r="H25" s="637"/>
      <c r="I25" s="328"/>
      <c r="J25" s="102"/>
      <c r="K25" s="328">
        <f>'Пр №1'!I24</f>
        <v>0</v>
      </c>
      <c r="L25" s="328">
        <f t="shared" ref="L25" si="2">J26-H26</f>
        <v>0</v>
      </c>
      <c r="M25" s="347"/>
      <c r="N25" s="347">
        <f>'Пр №1'!N24</f>
        <v>0</v>
      </c>
      <c r="O25" s="347"/>
      <c r="P25" s="347">
        <f t="shared" ref="P25" si="3">K25*L25*N25</f>
        <v>0</v>
      </c>
      <c r="Q25" s="328"/>
    </row>
    <row r="26" spans="1:17" ht="21" x14ac:dyDescent="0.25">
      <c r="A26" s="328"/>
      <c r="B26" s="328"/>
      <c r="C26" s="328"/>
      <c r="D26" s="328"/>
      <c r="E26" s="328"/>
      <c r="F26" s="328"/>
      <c r="G26" s="347"/>
      <c r="H26" s="638"/>
      <c r="I26" s="328"/>
      <c r="J26" s="103"/>
      <c r="K26" s="328"/>
      <c r="L26" s="328"/>
      <c r="M26" s="347"/>
      <c r="N26" s="347"/>
      <c r="O26" s="347"/>
      <c r="P26" s="328"/>
      <c r="Q26" s="328"/>
    </row>
    <row r="27" spans="1:17" ht="21" x14ac:dyDescent="0.25">
      <c r="A27" s="328">
        <v>4</v>
      </c>
      <c r="B27" s="328">
        <f>'Пр №1'!B26</f>
        <v>0</v>
      </c>
      <c r="C27" s="328"/>
      <c r="D27" s="328"/>
      <c r="E27" s="328"/>
      <c r="F27" s="328"/>
      <c r="G27" s="347">
        <f>'Акт прием'!N24</f>
        <v>0</v>
      </c>
      <c r="H27" s="637"/>
      <c r="I27" s="328"/>
      <c r="J27" s="102"/>
      <c r="K27" s="328">
        <f>'Пр №1'!I26</f>
        <v>0</v>
      </c>
      <c r="L27" s="328">
        <f t="shared" ref="L27" si="4">J28-H28</f>
        <v>0</v>
      </c>
      <c r="M27" s="347"/>
      <c r="N27" s="347">
        <f>'Пр №1'!N26</f>
        <v>0</v>
      </c>
      <c r="O27" s="347"/>
      <c r="P27" s="347">
        <f t="shared" ref="P27" si="5">K27*L27*N27</f>
        <v>0</v>
      </c>
      <c r="Q27" s="328"/>
    </row>
    <row r="28" spans="1:17" ht="21" x14ac:dyDescent="0.25">
      <c r="A28" s="328"/>
      <c r="B28" s="328"/>
      <c r="C28" s="328"/>
      <c r="D28" s="328"/>
      <c r="E28" s="328"/>
      <c r="F28" s="328"/>
      <c r="G28" s="347"/>
      <c r="H28" s="638"/>
      <c r="I28" s="328"/>
      <c r="J28" s="103"/>
      <c r="K28" s="328"/>
      <c r="L28" s="328"/>
      <c r="M28" s="347"/>
      <c r="N28" s="347"/>
      <c r="O28" s="347"/>
      <c r="P28" s="328"/>
      <c r="Q28" s="328"/>
    </row>
    <row r="29" spans="1:17" ht="21" x14ac:dyDescent="0.25">
      <c r="A29" s="328">
        <v>5</v>
      </c>
      <c r="B29" s="328">
        <f>'Пр №1'!B28</f>
        <v>0</v>
      </c>
      <c r="C29" s="328"/>
      <c r="D29" s="328"/>
      <c r="E29" s="328"/>
      <c r="F29" s="328"/>
      <c r="G29" s="347">
        <f>'Акт прием'!N25</f>
        <v>0</v>
      </c>
      <c r="H29" s="637"/>
      <c r="I29" s="328"/>
      <c r="J29" s="102"/>
      <c r="K29" s="328">
        <f>'Пр №1'!I28</f>
        <v>0</v>
      </c>
      <c r="L29" s="328">
        <f t="shared" ref="L29" si="6">J30-H30</f>
        <v>0</v>
      </c>
      <c r="M29" s="347"/>
      <c r="N29" s="347">
        <f>'Пр №1'!N28</f>
        <v>0</v>
      </c>
      <c r="O29" s="347"/>
      <c r="P29" s="347">
        <f t="shared" ref="P29" si="7">K29*L29*N29</f>
        <v>0</v>
      </c>
      <c r="Q29" s="328"/>
    </row>
    <row r="30" spans="1:17" ht="21" x14ac:dyDescent="0.25">
      <c r="A30" s="328"/>
      <c r="B30" s="328"/>
      <c r="C30" s="328"/>
      <c r="D30" s="328"/>
      <c r="E30" s="328"/>
      <c r="F30" s="328"/>
      <c r="G30" s="347"/>
      <c r="H30" s="638"/>
      <c r="I30" s="328"/>
      <c r="J30" s="103"/>
      <c r="K30" s="328"/>
      <c r="L30" s="328"/>
      <c r="M30" s="347"/>
      <c r="N30" s="347"/>
      <c r="O30" s="347"/>
      <c r="P30" s="328"/>
      <c r="Q30" s="328"/>
    </row>
    <row r="31" spans="1:17" ht="21" x14ac:dyDescent="0.25">
      <c r="A31" s="628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327"/>
      <c r="M31" s="633" t="s">
        <v>285</v>
      </c>
      <c r="N31" s="635"/>
      <c r="O31" s="636"/>
      <c r="P31" s="633">
        <f ca="1">SUM(P21:Q30)</f>
        <v>0</v>
      </c>
      <c r="Q31" s="634"/>
    </row>
    <row r="32" spans="1:17" ht="21" x14ac:dyDescent="0.25">
      <c r="A32" s="287" t="s">
        <v>610</v>
      </c>
      <c r="B32" s="287"/>
      <c r="C32" s="287"/>
      <c r="D32" s="287"/>
      <c r="E32" s="287"/>
      <c r="F32" s="287"/>
      <c r="G32" s="287"/>
      <c r="H32" s="630">
        <f ca="1">P31</f>
        <v>0</v>
      </c>
      <c r="I32" s="631"/>
      <c r="J32" s="631"/>
      <c r="K32" s="104"/>
      <c r="L32" s="104"/>
      <c r="M32" s="105"/>
      <c r="N32" s="105"/>
      <c r="O32" s="105"/>
      <c r="P32" s="106"/>
      <c r="Q32" s="106"/>
    </row>
    <row r="33" spans="1:17" ht="21" x14ac:dyDescent="0.35">
      <c r="A33" s="632" t="s">
        <v>286</v>
      </c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</row>
    <row r="34" spans="1:17" ht="21" x14ac:dyDescent="0.35">
      <c r="A34" s="289" t="s">
        <v>287</v>
      </c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</row>
    <row r="35" spans="1:17" ht="21" x14ac:dyDescent="0.35">
      <c r="A35" s="289" t="s">
        <v>611</v>
      </c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</row>
    <row r="36" spans="1:17" ht="21" customHeight="1" x14ac:dyDescent="0.35">
      <c r="A36" s="289" t="s">
        <v>368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</row>
    <row r="37" spans="1:17" ht="21" x14ac:dyDescent="0.35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</row>
    <row r="39" spans="1:17" ht="21" x14ac:dyDescent="0.35">
      <c r="A39" s="275" t="s">
        <v>6</v>
      </c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</row>
    <row r="40" spans="1:17" ht="21" x14ac:dyDescent="0.35">
      <c r="A40" s="275" t="s">
        <v>45</v>
      </c>
      <c r="B40" s="275"/>
      <c r="C40" s="275"/>
      <c r="D40" s="275"/>
      <c r="E40" s="275"/>
      <c r="F40" s="275"/>
      <c r="G40" s="275"/>
      <c r="H40" s="1"/>
      <c r="I40" s="1"/>
      <c r="J40" s="275" t="s">
        <v>44</v>
      </c>
      <c r="K40" s="275"/>
      <c r="L40" s="275"/>
      <c r="M40" s="275"/>
      <c r="N40" s="275"/>
      <c r="O40" s="275"/>
      <c r="P40" s="275"/>
    </row>
    <row r="41" spans="1:17" ht="21" x14ac:dyDescent="0.35">
      <c r="A41" s="3" t="s">
        <v>10</v>
      </c>
      <c r="B41" s="290" t="str">
        <f>'Пр №1'!B50:G50</f>
        <v xml:space="preserve"> Зинченко Михаил Александрович</v>
      </c>
      <c r="C41" s="290"/>
      <c r="D41" s="290"/>
      <c r="E41" s="290"/>
      <c r="F41" s="290"/>
      <c r="G41" s="290"/>
      <c r="H41" s="3"/>
      <c r="I41" s="3"/>
      <c r="J41" s="290" t="str">
        <f>'Счет '!J47:K47</f>
        <v>Ф.И.О.:</v>
      </c>
      <c r="K41" s="290"/>
      <c r="L41" s="290" t="str">
        <f>'Пр №1'!L50:Q50</f>
        <v>ХХХХ ХХХХ ХХХХ</v>
      </c>
      <c r="M41" s="290"/>
      <c r="N41" s="290"/>
      <c r="O41" s="290"/>
      <c r="P41" s="290"/>
      <c r="Q41" s="290"/>
    </row>
    <row r="42" spans="1:17" ht="21" x14ac:dyDescent="0.35">
      <c r="A42" s="3" t="s">
        <v>28</v>
      </c>
      <c r="B42" s="363">
        <f>'Пр №1'!B51:G51</f>
        <v>22212200650516</v>
      </c>
      <c r="C42" s="363"/>
      <c r="D42" s="363"/>
      <c r="E42" s="363"/>
      <c r="F42" s="363"/>
      <c r="G42" s="363"/>
      <c r="H42" s="3"/>
      <c r="I42" s="12"/>
      <c r="J42" s="363" t="str">
        <f>'Счет '!J48:K48</f>
        <v>ПИН:</v>
      </c>
      <c r="K42" s="363"/>
      <c r="L42" s="363" t="str">
        <f>'Пр №1'!L51:P51</f>
        <v>ХХХХ</v>
      </c>
      <c r="M42" s="363"/>
      <c r="N42" s="363"/>
      <c r="O42" s="363"/>
      <c r="P42" s="363"/>
      <c r="Q42" s="23"/>
    </row>
    <row r="43" spans="1:17" ht="21" x14ac:dyDescent="0.35">
      <c r="A43" s="290" t="s">
        <v>29</v>
      </c>
      <c r="B43" s="290"/>
      <c r="C43" s="13" t="str">
        <f>'Пр №1'!C52</f>
        <v>ID</v>
      </c>
      <c r="D43" s="13" t="s">
        <v>12</v>
      </c>
      <c r="E43" s="290">
        <f>'Пр №1'!E52:G52</f>
        <v>3219844</v>
      </c>
      <c r="F43" s="290"/>
      <c r="G43" s="290"/>
      <c r="H43" s="3"/>
      <c r="I43" s="3"/>
      <c r="J43" s="290" t="str">
        <f>'Счет '!J49:K49</f>
        <v>Паспорт:</v>
      </c>
      <c r="K43" s="290"/>
      <c r="L43" s="13" t="str">
        <f>'Пр №1'!L52</f>
        <v>ХХХ</v>
      </c>
      <c r="M43" s="13" t="s">
        <v>12</v>
      </c>
      <c r="N43" s="290" t="str">
        <f>'Пр №1'!N52:O52</f>
        <v>ХХХХХ</v>
      </c>
      <c r="O43" s="290"/>
      <c r="P43" s="3"/>
    </row>
    <row r="44" spans="1:17" ht="21" x14ac:dyDescent="0.35">
      <c r="A44" s="290" t="s">
        <v>30</v>
      </c>
      <c r="B44" s="290"/>
      <c r="C44" s="276" t="str">
        <f>'Пр №1'!C53:G53</f>
        <v>МКК 218011 от 12.02.2023</v>
      </c>
      <c r="D44" s="276"/>
      <c r="E44" s="276"/>
      <c r="F44" s="276"/>
      <c r="G44" s="276"/>
      <c r="H44" s="16"/>
      <c r="I44" s="3"/>
      <c r="J44" s="290" t="str">
        <f>'Счет '!J50:K50</f>
        <v>Выдан:</v>
      </c>
      <c r="K44" s="290"/>
      <c r="L44" s="3" t="str">
        <f>'Пр №1'!L53</f>
        <v>МКК</v>
      </c>
      <c r="M44" s="3" t="str">
        <f>'Пр №1'!M53</f>
        <v>ХХХХ</v>
      </c>
      <c r="N44" s="13" t="str">
        <f>'Пр №1'!N53</f>
        <v>от</v>
      </c>
      <c r="O44" s="386" t="str">
        <f>'Пр №1'!O53</f>
        <v>ХХХХ</v>
      </c>
      <c r="P44" s="276"/>
    </row>
    <row r="45" spans="1:17" ht="21" x14ac:dyDescent="0.35">
      <c r="A45" s="290" t="s">
        <v>31</v>
      </c>
      <c r="B45" s="290"/>
      <c r="C45" s="290" t="str">
        <f>'Пр №1'!C54:G54</f>
        <v>г. Бишкек</v>
      </c>
      <c r="D45" s="290"/>
      <c r="E45" s="290"/>
      <c r="F45" s="290"/>
      <c r="G45" s="290"/>
      <c r="H45" s="11"/>
      <c r="I45" s="3"/>
      <c r="J45" s="290" t="str">
        <f>'Счет '!J51:K51</f>
        <v>Адрес:</v>
      </c>
      <c r="K45" s="290"/>
      <c r="L45" s="290" t="str">
        <f>'Пр №1'!L54:Q54</f>
        <v>Чуйская область г. Бишкек</v>
      </c>
      <c r="M45" s="290"/>
      <c r="N45" s="290"/>
      <c r="O45" s="290"/>
      <c r="P45" s="290"/>
      <c r="Q45" s="290"/>
    </row>
    <row r="46" spans="1:17" ht="21" x14ac:dyDescent="0.35">
      <c r="A46" s="290" t="str">
        <f>'Пр №1'!A55:G55</f>
        <v>ул. Ялтинская д. №  56</v>
      </c>
      <c r="B46" s="290"/>
      <c r="C46" s="290"/>
      <c r="D46" s="290"/>
      <c r="E46" s="290"/>
      <c r="F46" s="290"/>
      <c r="G46" s="290"/>
      <c r="H46" s="3"/>
      <c r="I46" s="3"/>
      <c r="J46" s="290" t="str">
        <f>'Пр №1'!J55:P55</f>
        <v>ул. ХХХХХ</v>
      </c>
      <c r="K46" s="290"/>
      <c r="L46" s="290"/>
      <c r="M46" s="290"/>
      <c r="N46" s="290"/>
      <c r="O46" s="290"/>
      <c r="P46" s="290"/>
      <c r="Q46" s="290"/>
    </row>
    <row r="47" spans="1:17" ht="21" x14ac:dyDescent="0.35">
      <c r="A47" s="290" t="s">
        <v>32</v>
      </c>
      <c r="B47" s="290"/>
      <c r="C47" s="290"/>
      <c r="D47" s="290">
        <f>'Пр №1'!D56:G56</f>
        <v>720051</v>
      </c>
      <c r="E47" s="290"/>
      <c r="F47" s="290"/>
      <c r="G47" s="290"/>
      <c r="H47" s="11"/>
      <c r="I47" s="3"/>
      <c r="J47" s="290" t="str">
        <f>'Счет '!J53:L53</f>
        <v>Почтовый индекс:</v>
      </c>
      <c r="K47" s="290"/>
      <c r="L47" s="290"/>
      <c r="M47" s="290">
        <f>'Пр №1'!M56:N56</f>
        <v>0</v>
      </c>
      <c r="N47" s="290"/>
      <c r="O47" s="3"/>
      <c r="P47" s="3"/>
    </row>
    <row r="48" spans="1:17" ht="21" x14ac:dyDescent="0.35">
      <c r="A48" s="290" t="s">
        <v>7</v>
      </c>
      <c r="B48" s="290"/>
      <c r="C48" s="290"/>
      <c r="D48" s="290"/>
      <c r="E48" s="290"/>
      <c r="F48" s="290"/>
      <c r="G48" s="290"/>
      <c r="H48" s="3"/>
      <c r="I48" s="3"/>
      <c r="J48" s="290" t="str">
        <f>'Счет '!J54:P54</f>
        <v>Банковские реквизиты:</v>
      </c>
      <c r="K48" s="290"/>
      <c r="L48" s="290"/>
      <c r="M48" s="290"/>
      <c r="N48" s="290"/>
      <c r="O48" s="290"/>
      <c r="P48" s="290"/>
    </row>
    <row r="49" spans="1:16" ht="21" x14ac:dyDescent="0.35">
      <c r="A49" s="290" t="str">
        <f>'Пр №1'!A58:G58</f>
        <v>ОАО "МБАНК" ФИЛИАЛ "МБАНК ПЛАЗА"</v>
      </c>
      <c r="B49" s="290"/>
      <c r="C49" s="290"/>
      <c r="D49" s="290"/>
      <c r="E49" s="290"/>
      <c r="F49" s="290"/>
      <c r="G49" s="290"/>
      <c r="H49" s="3"/>
      <c r="I49" s="3"/>
      <c r="J49" s="290">
        <f>'Пр №1'!J58:P58</f>
        <v>0</v>
      </c>
      <c r="K49" s="290"/>
      <c r="L49" s="290"/>
      <c r="M49" s="290"/>
      <c r="N49" s="290"/>
      <c r="O49" s="290"/>
      <c r="P49" s="290"/>
    </row>
    <row r="50" spans="1:16" ht="21" x14ac:dyDescent="0.35">
      <c r="A50" s="3" t="s">
        <v>49</v>
      </c>
      <c r="B50" s="363" t="str">
        <f>'Пр №1'!B59:G59</f>
        <v>"1033220001521202"</v>
      </c>
      <c r="C50" s="363"/>
      <c r="D50" s="363"/>
      <c r="E50" s="363"/>
      <c r="F50" s="363"/>
      <c r="G50" s="363"/>
      <c r="H50" s="3"/>
      <c r="I50" s="3"/>
      <c r="J50" s="3" t="str">
        <f>'Счет '!J56</f>
        <v>р/c:</v>
      </c>
      <c r="K50" s="363">
        <f>'Пр №1'!K59:P59</f>
        <v>0</v>
      </c>
      <c r="L50" s="363"/>
      <c r="M50" s="363"/>
      <c r="N50" s="363"/>
      <c r="O50" s="363"/>
      <c r="P50" s="363"/>
    </row>
    <row r="51" spans="1:16" ht="21" x14ac:dyDescent="0.35">
      <c r="A51" s="3" t="s">
        <v>9</v>
      </c>
      <c r="B51" s="290">
        <f>'Пр №1'!B60:G60</f>
        <v>103032</v>
      </c>
      <c r="C51" s="290"/>
      <c r="D51" s="290"/>
      <c r="E51" s="290"/>
      <c r="F51" s="290"/>
      <c r="G51" s="290"/>
      <c r="H51" s="3"/>
      <c r="I51" s="3"/>
      <c r="J51" s="3" t="str">
        <f>'Счет '!J57</f>
        <v>БИК:</v>
      </c>
      <c r="K51" s="290">
        <f>'Пр №1'!K60:P60</f>
        <v>0</v>
      </c>
      <c r="L51" s="290"/>
      <c r="M51" s="290"/>
      <c r="N51" s="290"/>
      <c r="O51" s="290"/>
      <c r="P51" s="290"/>
    </row>
    <row r="52" spans="1:16" ht="21" x14ac:dyDescent="0.35">
      <c r="A52" s="290" t="str">
        <f>'Пр №1'!A61:G61</f>
        <v>УГНС 003 Свердловского района</v>
      </c>
      <c r="B52" s="290"/>
      <c r="C52" s="290"/>
      <c r="D52" s="290"/>
      <c r="E52" s="290"/>
      <c r="F52" s="290"/>
      <c r="G52" s="290"/>
      <c r="H52" s="3"/>
      <c r="I52" s="3"/>
      <c r="J52" s="290" t="str">
        <f>'Счет '!J58:P58</f>
        <v>УГНС 000</v>
      </c>
      <c r="K52" s="290"/>
      <c r="L52" s="290"/>
      <c r="M52" s="290"/>
      <c r="N52" s="290"/>
      <c r="O52" s="290"/>
      <c r="P52" s="290"/>
    </row>
    <row r="53" spans="1:16" ht="21" x14ac:dyDescent="0.35">
      <c r="A53" s="3" t="str">
        <f>'Пр №1'!A62</f>
        <v>ОКПО:</v>
      </c>
      <c r="B53" s="276">
        <f>'Пр №1'!B62</f>
        <v>33158934</v>
      </c>
      <c r="C53" s="27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21" x14ac:dyDescent="0.35">
      <c r="A54" s="276" t="str">
        <f>'Счет '!A60:C60</f>
        <v>З. М.</v>
      </c>
      <c r="B54" s="276"/>
      <c r="C54" s="276"/>
      <c r="D54" s="276" t="str">
        <f>'Счет '!D60:F60</f>
        <v>________________________</v>
      </c>
      <c r="E54" s="276"/>
      <c r="F54" s="276"/>
      <c r="G54" s="3"/>
      <c r="H54" s="3"/>
      <c r="I54" s="3"/>
      <c r="J54" s="276" t="str">
        <f>'Пр №1'!J63:L63</f>
        <v>ХХХХ Х. Х.</v>
      </c>
      <c r="K54" s="276"/>
      <c r="L54" s="276"/>
      <c r="M54" s="290" t="s">
        <v>33</v>
      </c>
      <c r="N54" s="290"/>
      <c r="O54" s="290"/>
      <c r="P54" s="290"/>
    </row>
    <row r="55" spans="1:16" ht="21" x14ac:dyDescent="0.35">
      <c r="A55" s="3"/>
      <c r="B55" s="3"/>
      <c r="C55" s="3"/>
      <c r="D55" s="283" t="str">
        <f>'Счет '!D61:F61</f>
        <v>(подпись)</v>
      </c>
      <c r="E55" s="283"/>
      <c r="F55" s="283"/>
      <c r="G55" s="37"/>
      <c r="H55" s="37"/>
      <c r="I55" s="37"/>
      <c r="J55" s="37"/>
      <c r="K55" s="37"/>
      <c r="L55" s="37"/>
      <c r="M55" s="283">
        <f>'Счет '!M61:P61</f>
        <v>0</v>
      </c>
      <c r="N55" s="283"/>
      <c r="O55" s="283"/>
      <c r="P55" s="283"/>
    </row>
    <row r="56" spans="1:16" ht="21" x14ac:dyDescent="0.35">
      <c r="A56" s="9" t="str">
        <f>'Пр №1'!A65</f>
        <v xml:space="preserve"> «</v>
      </c>
      <c r="B56" s="15">
        <f ca="1">'Пр №1'!B65</f>
        <v>9</v>
      </c>
      <c r="C56" s="10" t="str">
        <f>'Пр №1'!C65</f>
        <v>»</v>
      </c>
      <c r="D56" s="366" t="str">
        <f ca="1">'Пр №1'!D65:E65</f>
        <v>Январь</v>
      </c>
      <c r="E56" s="366"/>
      <c r="F56" s="10">
        <f ca="1">'Пр №1'!F65</f>
        <v>2026</v>
      </c>
      <c r="G56" s="10" t="str">
        <f>'Пр №1'!G65</f>
        <v>г.</v>
      </c>
      <c r="H56" s="9"/>
      <c r="I56" s="15"/>
      <c r="J56" s="5" t="str">
        <f>A56</f>
        <v xml:space="preserve"> «</v>
      </c>
      <c r="K56" s="5">
        <f ca="1">B56</f>
        <v>9</v>
      </c>
      <c r="L56" s="1" t="str">
        <f>C56</f>
        <v>»</v>
      </c>
      <c r="M56" s="275" t="str">
        <f ca="1">D56</f>
        <v>Январь</v>
      </c>
      <c r="N56" s="275"/>
      <c r="O56" s="1">
        <f ca="1">F56</f>
        <v>2026</v>
      </c>
      <c r="P56" s="1" t="str">
        <f>G56</f>
        <v>г.</v>
      </c>
    </row>
    <row r="57" spans="1:16" ht="21" x14ac:dyDescent="0.35">
      <c r="A57" s="276" t="s">
        <v>26</v>
      </c>
      <c r="B57" s="276"/>
      <c r="C57" s="276" t="str">
        <f>'Пр №1'!C66:G66</f>
        <v>+996 (552) 727 607</v>
      </c>
      <c r="D57" s="276"/>
      <c r="E57" s="276"/>
      <c r="F57" s="276"/>
      <c r="G57" s="276"/>
      <c r="H57" s="3"/>
      <c r="I57" s="3"/>
      <c r="J57" s="276" t="s">
        <v>26</v>
      </c>
      <c r="K57" s="276"/>
      <c r="L57" s="362" t="str">
        <f>'Пр №1'!L66:P66</f>
        <v>ХХХХ ХХХ ХХХХХ</v>
      </c>
      <c r="M57" s="362"/>
      <c r="N57" s="362"/>
      <c r="O57" s="362"/>
      <c r="P57" s="362"/>
    </row>
  </sheetData>
  <mergeCells count="145">
    <mergeCell ref="A5:I5"/>
    <mergeCell ref="B6:E6"/>
    <mergeCell ref="L6:M6"/>
    <mergeCell ref="A3:Q3"/>
    <mergeCell ref="A4:Q4"/>
    <mergeCell ref="A13:B13"/>
    <mergeCell ref="N13:Q13"/>
    <mergeCell ref="A8:Q8"/>
    <mergeCell ref="A9:Q9"/>
    <mergeCell ref="A11:H11"/>
    <mergeCell ref="I11:Q11"/>
    <mergeCell ref="A12:D12"/>
    <mergeCell ref="G12:H12"/>
    <mergeCell ref="N12:Q12"/>
    <mergeCell ref="H10:Q10"/>
    <mergeCell ref="A7:F7"/>
    <mergeCell ref="G7:Q7"/>
    <mergeCell ref="I13:M13"/>
    <mergeCell ref="C13:H13"/>
    <mergeCell ref="A10:B10"/>
    <mergeCell ref="C10:G10"/>
    <mergeCell ref="A39:O39"/>
    <mergeCell ref="A40:G40"/>
    <mergeCell ref="J40:P40"/>
    <mergeCell ref="B41:G41"/>
    <mergeCell ref="J41:K41"/>
    <mergeCell ref="L41:Q41"/>
    <mergeCell ref="A16:Q16"/>
    <mergeCell ref="A17:D17"/>
    <mergeCell ref="A18:I18"/>
    <mergeCell ref="A19:O19"/>
    <mergeCell ref="H23:I23"/>
    <mergeCell ref="K23:K24"/>
    <mergeCell ref="L23:L24"/>
    <mergeCell ref="M23:M24"/>
    <mergeCell ref="N23:O24"/>
    <mergeCell ref="P23:Q24"/>
    <mergeCell ref="H24:I24"/>
    <mergeCell ref="A25:A26"/>
    <mergeCell ref="B25:F26"/>
    <mergeCell ref="G25:G26"/>
    <mergeCell ref="H25:I25"/>
    <mergeCell ref="K25:K26"/>
    <mergeCell ref="L25:L26"/>
    <mergeCell ref="M25:M26"/>
    <mergeCell ref="A44:B44"/>
    <mergeCell ref="C44:G44"/>
    <mergeCell ref="J44:K44"/>
    <mergeCell ref="A45:B45"/>
    <mergeCell ref="C45:G45"/>
    <mergeCell ref="J45:K45"/>
    <mergeCell ref="L45:Q45"/>
    <mergeCell ref="B42:G42"/>
    <mergeCell ref="J42:K42"/>
    <mergeCell ref="L42:P42"/>
    <mergeCell ref="A43:B43"/>
    <mergeCell ref="E43:G43"/>
    <mergeCell ref="J43:K43"/>
    <mergeCell ref="N43:O43"/>
    <mergeCell ref="A48:G48"/>
    <mergeCell ref="J48:P48"/>
    <mergeCell ref="A49:G49"/>
    <mergeCell ref="J49:P49"/>
    <mergeCell ref="B50:G50"/>
    <mergeCell ref="K50:P50"/>
    <mergeCell ref="A46:G46"/>
    <mergeCell ref="J46:Q46"/>
    <mergeCell ref="A47:C47"/>
    <mergeCell ref="D47:G47"/>
    <mergeCell ref="J47:L47"/>
    <mergeCell ref="M47:N47"/>
    <mergeCell ref="D56:E56"/>
    <mergeCell ref="M56:N56"/>
    <mergeCell ref="A57:B57"/>
    <mergeCell ref="C57:G57"/>
    <mergeCell ref="J57:K57"/>
    <mergeCell ref="L57:P57"/>
    <mergeCell ref="B51:G51"/>
    <mergeCell ref="K51:P51"/>
    <mergeCell ref="A52:G52"/>
    <mergeCell ref="J52:P52"/>
    <mergeCell ref="J54:L54"/>
    <mergeCell ref="M54:P54"/>
    <mergeCell ref="A54:C54"/>
    <mergeCell ref="D54:F54"/>
    <mergeCell ref="M55:P55"/>
    <mergeCell ref="D55:F55"/>
    <mergeCell ref="B53:C53"/>
    <mergeCell ref="H14:Q14"/>
    <mergeCell ref="A14:G14"/>
    <mergeCell ref="A15:B15"/>
    <mergeCell ref="C15:F15"/>
    <mergeCell ref="G15:J15"/>
    <mergeCell ref="K15:P15"/>
    <mergeCell ref="O44:P44"/>
    <mergeCell ref="B20:F20"/>
    <mergeCell ref="H20:I20"/>
    <mergeCell ref="N20:O20"/>
    <mergeCell ref="P20:Q20"/>
    <mergeCell ref="A21:A22"/>
    <mergeCell ref="B21:F22"/>
    <mergeCell ref="G21:G22"/>
    <mergeCell ref="H21:I21"/>
    <mergeCell ref="K21:K22"/>
    <mergeCell ref="L21:L22"/>
    <mergeCell ref="M21:M22"/>
    <mergeCell ref="N21:O22"/>
    <mergeCell ref="P21:Q22"/>
    <mergeCell ref="H22:I22"/>
    <mergeCell ref="A23:A24"/>
    <mergeCell ref="B23:F24"/>
    <mergeCell ref="G23:G24"/>
    <mergeCell ref="N25:O26"/>
    <mergeCell ref="P25:Q26"/>
    <mergeCell ref="H26:I26"/>
    <mergeCell ref="A27:A28"/>
    <mergeCell ref="B27:F28"/>
    <mergeCell ref="G27:G28"/>
    <mergeCell ref="H27:I27"/>
    <mergeCell ref="K27:K28"/>
    <mergeCell ref="L27:L28"/>
    <mergeCell ref="M27:M28"/>
    <mergeCell ref="N27:O28"/>
    <mergeCell ref="P27:Q28"/>
    <mergeCell ref="H28:I28"/>
    <mergeCell ref="A29:A30"/>
    <mergeCell ref="B29:F30"/>
    <mergeCell ref="G29:G30"/>
    <mergeCell ref="H29:I29"/>
    <mergeCell ref="K29:K30"/>
    <mergeCell ref="L29:L30"/>
    <mergeCell ref="M29:M30"/>
    <mergeCell ref="N29:O30"/>
    <mergeCell ref="P29:Q30"/>
    <mergeCell ref="H30:I30"/>
    <mergeCell ref="A37:Q37"/>
    <mergeCell ref="A31:L31"/>
    <mergeCell ref="A32:G32"/>
    <mergeCell ref="H32:J32"/>
    <mergeCell ref="A33:Q33"/>
    <mergeCell ref="A34:Q34"/>
    <mergeCell ref="A35:Q35"/>
    <mergeCell ref="A36:Q36"/>
    <mergeCell ref="P31:Q31"/>
    <mergeCell ref="M31:O31"/>
  </mergeCells>
  <pageMargins left="0.32" right="0.32" top="0.28000000000000003" bottom="0.41" header="0.3" footer="0.3"/>
  <pageSetup paperSize="9" scale="4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7">
    <pageSetUpPr fitToPage="1"/>
  </sheetPr>
  <dimension ref="A3:Q66"/>
  <sheetViews>
    <sheetView showZeros="0" zoomScale="80" zoomScaleNormal="80" workbookViewId="0">
      <selection activeCell="V11" sqref="V11"/>
    </sheetView>
  </sheetViews>
  <sheetFormatPr defaultRowHeight="15" x14ac:dyDescent="0.25"/>
  <cols>
    <col min="6" max="6" width="8.85546875" customWidth="1"/>
    <col min="7" max="7" width="25.5703125" customWidth="1"/>
    <col min="8" max="8" width="17.85546875" customWidth="1"/>
    <col min="10" max="10" width="18.7109375" customWidth="1"/>
    <col min="11" max="11" width="12.85546875" customWidth="1"/>
    <col min="13" max="13" width="16" bestFit="1" customWidth="1"/>
    <col min="15" max="15" width="11.42578125" customWidth="1"/>
    <col min="16" max="16" width="9.140625" customWidth="1"/>
    <col min="17" max="17" width="14.5703125" customWidth="1"/>
  </cols>
  <sheetData>
    <row r="3" spans="1:17" ht="26.25" x14ac:dyDescent="0.4">
      <c r="A3" s="348" t="s">
        <v>27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</row>
    <row r="4" spans="1:17" ht="27" thickBot="1" x14ac:dyDescent="0.45">
      <c r="A4" s="348" t="s">
        <v>50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</row>
    <row r="5" spans="1:17" ht="21.75" thickBot="1" x14ac:dyDescent="0.4">
      <c r="A5" s="354"/>
      <c r="B5" s="354"/>
      <c r="C5" s="354"/>
      <c r="D5" s="354"/>
      <c r="E5" s="354"/>
      <c r="F5" s="354"/>
      <c r="G5" s="354"/>
      <c r="H5" s="354"/>
      <c r="I5" s="354"/>
      <c r="J5" s="5" t="s">
        <v>12</v>
      </c>
      <c r="K5" s="216">
        <f ca="1">'Пр №1'!J3</f>
        <v>9</v>
      </c>
      <c r="L5" s="217">
        <f ca="1">'Пр №1'!K3</f>
        <v>1</v>
      </c>
      <c r="M5" s="217">
        <f ca="1">'Пр №1'!L3</f>
        <v>2026</v>
      </c>
      <c r="N5" s="223">
        <f ca="1">'Пр №1'!M3</f>
        <v>46031.871582060186</v>
      </c>
      <c r="O5" s="224">
        <f>'Акт возв'!O5</f>
        <v>1</v>
      </c>
    </row>
    <row r="6" spans="1:17" ht="21" x14ac:dyDescent="0.35">
      <c r="A6" s="1"/>
      <c r="B6" s="275" t="str">
        <f>Дог.!B13</f>
        <v xml:space="preserve">г. Бишкек </v>
      </c>
      <c r="C6" s="275"/>
      <c r="D6" s="275"/>
      <c r="E6" s="275"/>
      <c r="F6" s="1"/>
      <c r="G6" s="1"/>
      <c r="H6" s="1"/>
      <c r="I6" s="7" t="str">
        <f>'Пр №1'!I5</f>
        <v xml:space="preserve"> «</v>
      </c>
      <c r="J6" s="5">
        <f ca="1">'Пр №1'!J5</f>
        <v>9</v>
      </c>
      <c r="K6" s="1" t="str">
        <f>'Пр №1'!K5</f>
        <v>»</v>
      </c>
      <c r="L6" s="275" t="str">
        <f ca="1">'Пр №1'!L5</f>
        <v>Январь</v>
      </c>
      <c r="M6" s="275"/>
      <c r="N6" s="1">
        <f ca="1">'Пр №1'!N5</f>
        <v>2026</v>
      </c>
      <c r="O6" s="1" t="str">
        <f>'Пр №1'!O5</f>
        <v>г.</v>
      </c>
    </row>
    <row r="7" spans="1:17" ht="21" x14ac:dyDescent="0.35">
      <c r="A7" s="302" t="str">
        <f>'Акт возв'!A7:E7</f>
        <v xml:space="preserve"> Зинченко Михаил Александрович</v>
      </c>
      <c r="B7" s="302"/>
      <c r="C7" s="302"/>
      <c r="D7" s="302"/>
      <c r="E7" s="302"/>
      <c r="F7" s="302"/>
      <c r="G7" s="353" t="str">
        <f>'Акт возв'!G7:Q7</f>
        <v>22.12.2006 года рождения, паспорт: ID3219844 выдан MKK 218011 от 12.02.2023 г.</v>
      </c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21" x14ac:dyDescent="0.35">
      <c r="A8" s="350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17" ht="21" x14ac:dyDescent="0.35">
      <c r="A9" s="350" t="str">
        <f>'Пр №1'!A8:Q8</f>
        <v>регистрации индивидуального предпринимателя по Свердловскому району г. Бишкек № 003-2024-169-5930 от 08.08.2024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</row>
    <row r="10" spans="1:17" ht="21" x14ac:dyDescent="0.25">
      <c r="A10" s="349" t="str">
        <f>'Акт возв'!A10:G10</f>
        <v>ИНН:</v>
      </c>
      <c r="B10" s="349"/>
      <c r="C10" s="300">
        <f>'Пр №1'!C9:G9</f>
        <v>22212200650516</v>
      </c>
      <c r="D10" s="349"/>
      <c r="E10" s="349"/>
      <c r="F10" s="349"/>
      <c r="G10" s="349"/>
      <c r="H10" s="349" t="s">
        <v>84</v>
      </c>
      <c r="I10" s="349"/>
      <c r="J10" s="349"/>
      <c r="K10" s="349"/>
      <c r="L10" s="349"/>
      <c r="M10" s="349"/>
      <c r="N10" s="349"/>
      <c r="O10" s="349"/>
      <c r="P10" s="349"/>
      <c r="Q10" s="349"/>
    </row>
    <row r="11" spans="1:17" ht="21" x14ac:dyDescent="0.35">
      <c r="A11" s="351" t="str">
        <f>Дог.!A18</f>
        <v>ХХХХ ХХХХ ХХХХ</v>
      </c>
      <c r="B11" s="351"/>
      <c r="C11" s="351"/>
      <c r="D11" s="351"/>
      <c r="E11" s="351"/>
      <c r="F11" s="351"/>
      <c r="G11" s="351"/>
      <c r="H11" s="351"/>
      <c r="I11" s="349" t="s">
        <v>72</v>
      </c>
      <c r="J11" s="349"/>
      <c r="K11" s="349"/>
      <c r="L11" s="349"/>
      <c r="M11" s="349"/>
      <c r="N11" s="349"/>
      <c r="O11" s="349"/>
      <c r="P11" s="349"/>
      <c r="Q11" s="349"/>
    </row>
    <row r="12" spans="1:17" ht="21" x14ac:dyDescent="0.35">
      <c r="A12" s="350" t="str">
        <f>Дог.!A19</f>
        <v xml:space="preserve"> на основании паспорта:</v>
      </c>
      <c r="B12" s="350"/>
      <c r="C12" s="350"/>
      <c r="D12" s="350"/>
      <c r="E12" s="17" t="str">
        <f>Дог.!E19</f>
        <v>ХХХ</v>
      </c>
      <c r="F12" s="17" t="str">
        <f>Дог.!F19</f>
        <v>№</v>
      </c>
      <c r="G12" s="352" t="str">
        <f>Дог.!G19</f>
        <v>ХХХХХ</v>
      </c>
      <c r="H12" s="352"/>
      <c r="I12" s="14" t="str">
        <f>Дог.!I19</f>
        <v>выдан</v>
      </c>
      <c r="J12" s="17" t="str">
        <f>Дог.!J19</f>
        <v>МКК</v>
      </c>
      <c r="K12" s="17" t="str">
        <f>'Пр №1'!K11</f>
        <v>ХХХХ</v>
      </c>
      <c r="L12" s="17" t="str">
        <f>'Пр №1'!L11</f>
        <v>от</v>
      </c>
      <c r="M12" s="99" t="str">
        <f>'Пр №1'!M11</f>
        <v>ХХХХ</v>
      </c>
      <c r="N12" s="350" t="str">
        <f>Дог.!N19</f>
        <v>зарегистрированный(-ая)</v>
      </c>
      <c r="O12" s="350"/>
      <c r="P12" s="350"/>
      <c r="Q12" s="350"/>
    </row>
    <row r="13" spans="1:17" ht="21" x14ac:dyDescent="0.25">
      <c r="A13" s="349" t="s">
        <v>36</v>
      </c>
      <c r="B13" s="349"/>
      <c r="C13" s="298" t="str">
        <f>'Акт возв'!C13:G13</f>
        <v>Чуйская область г. Бишкек</v>
      </c>
      <c r="D13" s="298"/>
      <c r="E13" s="298"/>
      <c r="F13" s="298"/>
      <c r="G13" s="298"/>
      <c r="H13" s="298"/>
      <c r="I13" s="298" t="str">
        <f>'Акт возв'!H13:M13</f>
        <v>ул. ХХХХХ</v>
      </c>
      <c r="J13" s="298"/>
      <c r="K13" s="298"/>
      <c r="L13" s="298"/>
      <c r="M13" s="298"/>
      <c r="N13" s="349" t="s">
        <v>37</v>
      </c>
      <c r="O13" s="349"/>
      <c r="P13" s="349"/>
      <c r="Q13" s="349"/>
    </row>
    <row r="14" spans="1:17" ht="21" x14ac:dyDescent="0.25">
      <c r="A14" s="298" t="str">
        <f>'Акт возв'!A14:E14</f>
        <v>Чуйская область г. Бишкек</v>
      </c>
      <c r="B14" s="298"/>
      <c r="C14" s="298"/>
      <c r="D14" s="298"/>
      <c r="E14" s="298"/>
      <c r="F14" s="298"/>
      <c r="G14" s="298"/>
      <c r="H14" s="298" t="str">
        <f>'Пр №1'!H13:Q13</f>
        <v>ул. ХХХХХ</v>
      </c>
      <c r="I14" s="298"/>
      <c r="J14" s="298"/>
      <c r="K14" s="298"/>
      <c r="L14" s="298"/>
      <c r="M14" s="298"/>
      <c r="N14" s="298"/>
      <c r="O14" s="298"/>
      <c r="P14" s="298"/>
      <c r="Q14" s="298"/>
    </row>
    <row r="15" spans="1:17" ht="21" x14ac:dyDescent="0.25">
      <c r="A15" s="298" t="s">
        <v>258</v>
      </c>
      <c r="B15" s="298"/>
      <c r="C15" s="301" t="str">
        <f>'Пр №1'!C14:F14</f>
        <v>ХХХХ</v>
      </c>
      <c r="D15" s="301"/>
      <c r="E15" s="301"/>
      <c r="F15" s="301"/>
      <c r="G15" s="298" t="s">
        <v>39</v>
      </c>
      <c r="H15" s="298"/>
      <c r="I15" s="298"/>
      <c r="J15" s="298"/>
      <c r="K15" s="298">
        <f>'Пр №1'!K14:P14</f>
        <v>0</v>
      </c>
      <c r="L15" s="298"/>
      <c r="M15" s="298"/>
      <c r="N15" s="298"/>
      <c r="O15" s="298"/>
      <c r="P15" s="298"/>
      <c r="Q15" s="20"/>
    </row>
    <row r="16" spans="1:17" ht="21.75" thickBot="1" x14ac:dyDescent="0.4">
      <c r="A16" s="276" t="s">
        <v>52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</row>
    <row r="17" spans="1:17" ht="21.75" thickBot="1" x14ac:dyDescent="0.4">
      <c r="A17" s="276" t="s">
        <v>47</v>
      </c>
      <c r="B17" s="276"/>
      <c r="C17" s="276"/>
      <c r="D17" s="276"/>
      <c r="E17" s="5" t="s">
        <v>12</v>
      </c>
      <c r="F17" s="216">
        <f ca="1">K5</f>
        <v>9</v>
      </c>
      <c r="G17" s="217">
        <f ca="1">L5</f>
        <v>1</v>
      </c>
      <c r="H17" s="217">
        <f ca="1">M5</f>
        <v>2026</v>
      </c>
      <c r="I17" s="223">
        <f ca="1">N5</f>
        <v>46031.871582060186</v>
      </c>
      <c r="J17" s="218">
        <f>O5</f>
        <v>1</v>
      </c>
      <c r="K17" s="3" t="s">
        <v>75</v>
      </c>
      <c r="L17" s="3"/>
      <c r="M17" s="3"/>
      <c r="N17" s="3"/>
      <c r="O17" s="3"/>
      <c r="P17" s="3"/>
      <c r="Q17" s="3"/>
    </row>
    <row r="18" spans="1:17" ht="21.75" thickBot="1" x14ac:dyDescent="0.4">
      <c r="A18" s="350" t="s">
        <v>51</v>
      </c>
      <c r="B18" s="350"/>
      <c r="C18" s="350"/>
      <c r="D18" s="350"/>
      <c r="E18" s="350"/>
      <c r="F18" s="350"/>
      <c r="G18" s="350"/>
      <c r="H18" s="350"/>
      <c r="I18" s="350"/>
      <c r="J18" s="5" t="s">
        <v>12</v>
      </c>
      <c r="K18" s="216">
        <f ca="1">K5</f>
        <v>9</v>
      </c>
      <c r="L18" s="217">
        <f ca="1">L5</f>
        <v>1</v>
      </c>
      <c r="M18" s="217">
        <f ca="1">M5</f>
        <v>2026</v>
      </c>
      <c r="N18" s="223">
        <f ca="1">N5</f>
        <v>46031.871582060186</v>
      </c>
      <c r="O18" s="224">
        <f>O5</f>
        <v>1</v>
      </c>
    </row>
    <row r="19" spans="1:17" ht="21" x14ac:dyDescent="0.35">
      <c r="A19" s="290" t="s">
        <v>56</v>
      </c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</row>
    <row r="20" spans="1:17" ht="63" x14ac:dyDescent="0.25">
      <c r="A20" s="95" t="s">
        <v>12</v>
      </c>
      <c r="B20" s="380" t="s">
        <v>376</v>
      </c>
      <c r="C20" s="381"/>
      <c r="D20" s="381"/>
      <c r="E20" s="381"/>
      <c r="F20" s="382"/>
      <c r="G20" s="93" t="s">
        <v>281</v>
      </c>
      <c r="H20" s="376" t="s">
        <v>13</v>
      </c>
      <c r="I20" s="376"/>
      <c r="J20" s="94" t="s">
        <v>282</v>
      </c>
      <c r="K20" s="95" t="s">
        <v>283</v>
      </c>
      <c r="L20" s="95" t="s">
        <v>284</v>
      </c>
      <c r="M20" s="95" t="s">
        <v>60</v>
      </c>
      <c r="N20" s="376" t="s">
        <v>61</v>
      </c>
      <c r="O20" s="376"/>
      <c r="P20" s="381" t="s">
        <v>68</v>
      </c>
      <c r="Q20" s="382"/>
    </row>
    <row r="21" spans="1:17" ht="21" x14ac:dyDescent="0.25">
      <c r="A21" s="328">
        <v>1</v>
      </c>
      <c r="B21" s="328" t="str">
        <f>'Акт возв'!B21:F22</f>
        <v>XXXXXXX</v>
      </c>
      <c r="C21" s="328"/>
      <c r="D21" s="328"/>
      <c r="E21" s="328"/>
      <c r="F21" s="328"/>
      <c r="G21" s="347">
        <f>'Акт прием'!N21</f>
        <v>35000</v>
      </c>
      <c r="H21" s="637">
        <f ca="1">'Пр №1'!J20</f>
        <v>46031.871582060186</v>
      </c>
      <c r="I21" s="328"/>
      <c r="J21" s="102">
        <f ca="1">'Пр №1'!J20</f>
        <v>46031.871582060186</v>
      </c>
      <c r="K21" s="328">
        <f>'Акт возв'!K21:K22</f>
        <v>1</v>
      </c>
      <c r="L21" s="328">
        <f ca="1">J22-H22</f>
        <v>0</v>
      </c>
      <c r="M21" s="347" t="s">
        <v>64</v>
      </c>
      <c r="N21" s="347">
        <f>'Пр №1'!N20</f>
        <v>1500</v>
      </c>
      <c r="O21" s="347"/>
      <c r="P21" s="347">
        <f ca="1">K21*L21*N21</f>
        <v>0</v>
      </c>
      <c r="Q21" s="328"/>
    </row>
    <row r="22" spans="1:17" ht="21" x14ac:dyDescent="0.25">
      <c r="A22" s="328"/>
      <c r="B22" s="328"/>
      <c r="C22" s="328"/>
      <c r="D22" s="328"/>
      <c r="E22" s="328"/>
      <c r="F22" s="328"/>
      <c r="G22" s="347"/>
      <c r="H22" s="638">
        <f ca="1">'Пр №1'!J21</f>
        <v>46031</v>
      </c>
      <c r="I22" s="328"/>
      <c r="J22" s="103">
        <f ca="1">'Пр №1'!J21</f>
        <v>46031</v>
      </c>
      <c r="K22" s="328"/>
      <c r="L22" s="328"/>
      <c r="M22" s="347"/>
      <c r="N22" s="347"/>
      <c r="O22" s="347"/>
      <c r="P22" s="328"/>
      <c r="Q22" s="328"/>
    </row>
    <row r="23" spans="1:17" ht="21" x14ac:dyDescent="0.25">
      <c r="A23" s="328">
        <v>2</v>
      </c>
      <c r="B23" s="328">
        <f>'Акт возв'!B23:F24</f>
        <v>0</v>
      </c>
      <c r="C23" s="328"/>
      <c r="D23" s="328"/>
      <c r="E23" s="328"/>
      <c r="F23" s="328"/>
      <c r="G23" s="347">
        <f>'Акт прием'!N22</f>
        <v>0</v>
      </c>
      <c r="H23" s="637"/>
      <c r="I23" s="328"/>
      <c r="J23" s="102"/>
      <c r="K23" s="328">
        <f>'Акт возв'!K23:K24</f>
        <v>0</v>
      </c>
      <c r="L23" s="328"/>
      <c r="M23" s="347"/>
      <c r="N23" s="347">
        <f>'Пр №1'!N22</f>
        <v>0</v>
      </c>
      <c r="O23" s="347"/>
      <c r="P23" s="347"/>
      <c r="Q23" s="328"/>
    </row>
    <row r="24" spans="1:17" ht="21" x14ac:dyDescent="0.25">
      <c r="A24" s="328"/>
      <c r="B24" s="328"/>
      <c r="C24" s="328"/>
      <c r="D24" s="328"/>
      <c r="E24" s="328"/>
      <c r="F24" s="328"/>
      <c r="G24" s="347"/>
      <c r="H24" s="638"/>
      <c r="I24" s="328"/>
      <c r="J24" s="103"/>
      <c r="K24" s="328"/>
      <c r="L24" s="328"/>
      <c r="M24" s="347"/>
      <c r="N24" s="347"/>
      <c r="O24" s="347"/>
      <c r="P24" s="328"/>
      <c r="Q24" s="328"/>
    </row>
    <row r="25" spans="1:17" ht="21" x14ac:dyDescent="0.25">
      <c r="A25" s="328">
        <v>3</v>
      </c>
      <c r="B25" s="328">
        <f>'Акт возв'!B25:F26</f>
        <v>0</v>
      </c>
      <c r="C25" s="328"/>
      <c r="D25" s="328"/>
      <c r="E25" s="328"/>
      <c r="F25" s="328"/>
      <c r="G25" s="347">
        <f>'Акт прием'!N23</f>
        <v>0</v>
      </c>
      <c r="H25" s="637"/>
      <c r="I25" s="328"/>
      <c r="J25" s="102"/>
      <c r="K25" s="328">
        <f>'Акт возв'!K25:K26</f>
        <v>0</v>
      </c>
      <c r="L25" s="328"/>
      <c r="M25" s="347"/>
      <c r="N25" s="347">
        <f>'Пр №1'!N24</f>
        <v>0</v>
      </c>
      <c r="O25" s="347"/>
      <c r="P25" s="347"/>
      <c r="Q25" s="328"/>
    </row>
    <row r="26" spans="1:17" ht="21" x14ac:dyDescent="0.25">
      <c r="A26" s="328"/>
      <c r="B26" s="328"/>
      <c r="C26" s="328"/>
      <c r="D26" s="328"/>
      <c r="E26" s="328"/>
      <c r="F26" s="328"/>
      <c r="G26" s="347"/>
      <c r="H26" s="638"/>
      <c r="I26" s="328"/>
      <c r="J26" s="103"/>
      <c r="K26" s="328"/>
      <c r="L26" s="328"/>
      <c r="M26" s="347"/>
      <c r="N26" s="347"/>
      <c r="O26" s="347"/>
      <c r="P26" s="328"/>
      <c r="Q26" s="328"/>
    </row>
    <row r="27" spans="1:17" ht="21" x14ac:dyDescent="0.25">
      <c r="A27" s="328">
        <v>4</v>
      </c>
      <c r="B27" s="328">
        <f>'Акт возв'!B27:F28</f>
        <v>0</v>
      </c>
      <c r="C27" s="328"/>
      <c r="D27" s="328"/>
      <c r="E27" s="328"/>
      <c r="F27" s="328"/>
      <c r="G27" s="347">
        <f>'Акт прием'!N24</f>
        <v>0</v>
      </c>
      <c r="H27" s="637"/>
      <c r="I27" s="328"/>
      <c r="J27" s="102"/>
      <c r="K27" s="328">
        <f>'Акт возв'!K27:K28</f>
        <v>0</v>
      </c>
      <c r="L27" s="328"/>
      <c r="M27" s="347"/>
      <c r="N27" s="347">
        <f>'Пр №1'!N26</f>
        <v>0</v>
      </c>
      <c r="O27" s="347"/>
      <c r="P27" s="347"/>
      <c r="Q27" s="328"/>
    </row>
    <row r="28" spans="1:17" ht="21" x14ac:dyDescent="0.25">
      <c r="A28" s="328"/>
      <c r="B28" s="328"/>
      <c r="C28" s="328"/>
      <c r="D28" s="328"/>
      <c r="E28" s="328"/>
      <c r="F28" s="328"/>
      <c r="G28" s="347"/>
      <c r="H28" s="638"/>
      <c r="I28" s="328"/>
      <c r="J28" s="103"/>
      <c r="K28" s="328"/>
      <c r="L28" s="328"/>
      <c r="M28" s="347"/>
      <c r="N28" s="347"/>
      <c r="O28" s="347"/>
      <c r="P28" s="328"/>
      <c r="Q28" s="328"/>
    </row>
    <row r="29" spans="1:17" ht="21" x14ac:dyDescent="0.25">
      <c r="A29" s="328">
        <v>5</v>
      </c>
      <c r="B29" s="328">
        <f>'Акт возв'!B29:F30</f>
        <v>0</v>
      </c>
      <c r="C29" s="328"/>
      <c r="D29" s="328"/>
      <c r="E29" s="328"/>
      <c r="F29" s="328"/>
      <c r="G29" s="347">
        <f>'Акт прием'!N25</f>
        <v>0</v>
      </c>
      <c r="H29" s="637"/>
      <c r="I29" s="328"/>
      <c r="J29" s="102"/>
      <c r="K29" s="328">
        <f>'Акт возв'!K29:K30</f>
        <v>0</v>
      </c>
      <c r="L29" s="328"/>
      <c r="M29" s="347"/>
      <c r="N29" s="347">
        <f>'Пр №1'!N28</f>
        <v>0</v>
      </c>
      <c r="O29" s="347"/>
      <c r="P29" s="347"/>
      <c r="Q29" s="328"/>
    </row>
    <row r="30" spans="1:17" ht="21" x14ac:dyDescent="0.25">
      <c r="A30" s="328"/>
      <c r="B30" s="328"/>
      <c r="C30" s="328"/>
      <c r="D30" s="328"/>
      <c r="E30" s="328"/>
      <c r="F30" s="328"/>
      <c r="G30" s="347"/>
      <c r="H30" s="638"/>
      <c r="I30" s="328"/>
      <c r="J30" s="103"/>
      <c r="K30" s="328"/>
      <c r="L30" s="328"/>
      <c r="M30" s="347"/>
      <c r="N30" s="347"/>
      <c r="O30" s="347"/>
      <c r="P30" s="328"/>
      <c r="Q30" s="328"/>
    </row>
    <row r="31" spans="1:17" ht="21" x14ac:dyDescent="0.25">
      <c r="A31" s="643"/>
      <c r="B31" s="644"/>
      <c r="C31" s="644"/>
      <c r="D31" s="644"/>
      <c r="E31" s="644"/>
      <c r="F31" s="644"/>
      <c r="G31" s="644"/>
      <c r="H31" s="644"/>
      <c r="I31" s="644"/>
      <c r="J31" s="644"/>
      <c r="K31" s="644"/>
      <c r="L31" s="645"/>
      <c r="M31" s="633" t="s">
        <v>285</v>
      </c>
      <c r="N31" s="635"/>
      <c r="O31" s="636"/>
      <c r="P31" s="633">
        <f ca="1">SUM(P21:Q30)</f>
        <v>0</v>
      </c>
      <c r="Q31" s="634"/>
    </row>
    <row r="32" spans="1:17" ht="21" x14ac:dyDescent="0.25">
      <c r="A32" s="287" t="s">
        <v>610</v>
      </c>
      <c r="B32" s="287"/>
      <c r="C32" s="287"/>
      <c r="D32" s="287"/>
      <c r="E32" s="287"/>
      <c r="F32" s="287"/>
      <c r="G32" s="287"/>
      <c r="H32" s="630">
        <f ca="1">P31</f>
        <v>0</v>
      </c>
      <c r="I32" s="631"/>
      <c r="J32" s="631"/>
      <c r="K32" s="104"/>
      <c r="L32" s="104"/>
      <c r="M32" s="105"/>
      <c r="N32" s="105"/>
      <c r="O32" s="105"/>
      <c r="P32" s="106"/>
      <c r="Q32" s="106"/>
    </row>
    <row r="33" spans="1:17" ht="21" x14ac:dyDescent="0.35">
      <c r="A33" s="288" t="s">
        <v>58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</row>
    <row r="34" spans="1:17" ht="40.5" customHeight="1" x14ac:dyDescent="0.25">
      <c r="A34" s="25" t="s">
        <v>12</v>
      </c>
      <c r="B34" s="388" t="s">
        <v>376</v>
      </c>
      <c r="C34" s="389"/>
      <c r="D34" s="389"/>
      <c r="E34" s="389"/>
      <c r="F34" s="390"/>
      <c r="G34" s="388" t="s">
        <v>612</v>
      </c>
      <c r="H34" s="389"/>
      <c r="I34" s="389"/>
      <c r="J34" s="389"/>
      <c r="K34" s="389"/>
      <c r="L34" s="389"/>
      <c r="M34" s="390"/>
      <c r="N34" s="376" t="s">
        <v>70</v>
      </c>
      <c r="O34" s="376"/>
      <c r="P34" s="376"/>
      <c r="Q34" s="376"/>
    </row>
    <row r="35" spans="1:17" ht="21" x14ac:dyDescent="0.35">
      <c r="A35" s="4">
        <v>1</v>
      </c>
      <c r="B35" s="377" t="str">
        <f>B21</f>
        <v>XXXXXXX</v>
      </c>
      <c r="C35" s="378"/>
      <c r="D35" s="378"/>
      <c r="E35" s="378"/>
      <c r="F35" s="379"/>
      <c r="G35" s="641"/>
      <c r="H35" s="642"/>
      <c r="I35" s="642"/>
      <c r="J35" s="642"/>
      <c r="K35" s="642"/>
      <c r="L35" s="642"/>
      <c r="M35" s="634"/>
      <c r="N35" s="652">
        <v>3500</v>
      </c>
      <c r="O35" s="652"/>
      <c r="P35" s="652"/>
      <c r="Q35" s="652"/>
    </row>
    <row r="36" spans="1:17" ht="21" x14ac:dyDescent="0.35">
      <c r="A36" s="4">
        <v>2</v>
      </c>
      <c r="B36" s="377">
        <f t="shared" ref="B36:B37" si="0">B22</f>
        <v>0</v>
      </c>
      <c r="C36" s="378"/>
      <c r="D36" s="378"/>
      <c r="E36" s="378"/>
      <c r="F36" s="379"/>
      <c r="G36" s="641">
        <f t="shared" ref="G36:G37" si="1">K22</f>
        <v>0</v>
      </c>
      <c r="H36" s="642"/>
      <c r="I36" s="642"/>
      <c r="J36" s="642"/>
      <c r="K36" s="642"/>
      <c r="L36" s="642"/>
      <c r="M36" s="634"/>
      <c r="N36" s="355"/>
      <c r="O36" s="355"/>
      <c r="P36" s="355"/>
      <c r="Q36" s="355"/>
    </row>
    <row r="37" spans="1:17" ht="21" x14ac:dyDescent="0.35">
      <c r="A37" s="4">
        <v>3</v>
      </c>
      <c r="B37" s="377">
        <f t="shared" si="0"/>
        <v>0</v>
      </c>
      <c r="C37" s="378"/>
      <c r="D37" s="378"/>
      <c r="E37" s="378"/>
      <c r="F37" s="379"/>
      <c r="G37" s="641">
        <f t="shared" si="1"/>
        <v>0</v>
      </c>
      <c r="H37" s="642"/>
      <c r="I37" s="642"/>
      <c r="J37" s="642"/>
      <c r="K37" s="642"/>
      <c r="L37" s="642"/>
      <c r="M37" s="634"/>
      <c r="N37" s="355"/>
      <c r="O37" s="355"/>
      <c r="P37" s="355"/>
      <c r="Q37" s="355"/>
    </row>
    <row r="38" spans="1:17" ht="21" x14ac:dyDescent="0.35">
      <c r="A38" s="4">
        <v>4</v>
      </c>
      <c r="B38" s="377"/>
      <c r="C38" s="378"/>
      <c r="D38" s="378"/>
      <c r="E38" s="378"/>
      <c r="F38" s="379"/>
      <c r="G38" s="641"/>
      <c r="H38" s="642"/>
      <c r="I38" s="642"/>
      <c r="J38" s="642"/>
      <c r="K38" s="642"/>
      <c r="L38" s="642"/>
      <c r="M38" s="634"/>
      <c r="N38" s="646"/>
      <c r="O38" s="356"/>
      <c r="P38" s="356"/>
      <c r="Q38" s="357"/>
    </row>
    <row r="39" spans="1:17" ht="21" x14ac:dyDescent="0.35">
      <c r="A39" s="4">
        <v>5</v>
      </c>
      <c r="B39" s="377">
        <f>B24</f>
        <v>0</v>
      </c>
      <c r="C39" s="378"/>
      <c r="D39" s="378"/>
      <c r="E39" s="378"/>
      <c r="F39" s="379"/>
      <c r="G39" s="641">
        <f>K24</f>
        <v>0</v>
      </c>
      <c r="H39" s="642"/>
      <c r="I39" s="642"/>
      <c r="J39" s="642"/>
      <c r="K39" s="642"/>
      <c r="L39" s="642"/>
      <c r="M39" s="634"/>
      <c r="N39" s="355"/>
      <c r="O39" s="355"/>
      <c r="P39" s="355"/>
      <c r="Q39" s="355"/>
    </row>
    <row r="40" spans="1:17" ht="21" x14ac:dyDescent="0.35">
      <c r="A40" s="647"/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375" t="s">
        <v>14</v>
      </c>
      <c r="M40" s="375"/>
      <c r="N40" s="355">
        <f>SUM(N35:Q39)</f>
        <v>3500</v>
      </c>
      <c r="O40" s="355"/>
      <c r="P40" s="355"/>
      <c r="Q40" s="355"/>
    </row>
    <row r="41" spans="1:17" ht="21.75" thickBot="1" x14ac:dyDescent="0.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16"/>
      <c r="M41" s="116"/>
      <c r="N41" s="82"/>
      <c r="O41" s="82"/>
      <c r="P41" s="82"/>
      <c r="Q41" s="82"/>
    </row>
    <row r="42" spans="1:17" ht="21.75" thickBot="1" x14ac:dyDescent="0.4">
      <c r="A42" s="293" t="s">
        <v>547</v>
      </c>
      <c r="B42" s="293"/>
      <c r="C42" s="293"/>
      <c r="D42" s="293"/>
      <c r="E42" s="293"/>
      <c r="F42" s="293"/>
      <c r="G42" s="293"/>
      <c r="H42" s="293"/>
      <c r="I42" s="5" t="s">
        <v>12</v>
      </c>
      <c r="J42" s="216">
        <f ca="1">K18</f>
        <v>9</v>
      </c>
      <c r="K42" s="217">
        <f ca="1">L18</f>
        <v>1</v>
      </c>
      <c r="L42" s="24">
        <f ca="1">M18</f>
        <v>2026</v>
      </c>
      <c r="M42" s="225">
        <f ca="1">N18</f>
        <v>46031.871582060186</v>
      </c>
      <c r="N42" s="218">
        <f>O18</f>
        <v>1</v>
      </c>
      <c r="O42" s="650" t="s">
        <v>536</v>
      </c>
      <c r="P42" s="651"/>
      <c r="Q42" s="651"/>
    </row>
    <row r="43" spans="1:17" ht="21" x14ac:dyDescent="0.35">
      <c r="A43" s="293" t="s">
        <v>672</v>
      </c>
      <c r="B43" s="293"/>
      <c r="C43" s="293"/>
      <c r="D43" s="293"/>
      <c r="E43" s="293"/>
      <c r="F43" s="293"/>
      <c r="G43" s="293"/>
      <c r="H43" s="293"/>
      <c r="I43" s="293"/>
      <c r="J43" s="648">
        <f>N40</f>
        <v>3500</v>
      </c>
      <c r="K43" s="649"/>
      <c r="L43" s="649"/>
      <c r="M43" s="649"/>
      <c r="N43" s="649"/>
      <c r="O43" s="649"/>
      <c r="P43" s="649"/>
      <c r="Q43" s="649"/>
    </row>
    <row r="44" spans="1:17" ht="21" x14ac:dyDescent="0.35">
      <c r="A44" s="293" t="s">
        <v>613</v>
      </c>
      <c r="B44" s="293"/>
      <c r="C44" s="293"/>
      <c r="D44" s="293"/>
      <c r="E44" s="293"/>
      <c r="F44" s="293"/>
      <c r="G44" s="293"/>
      <c r="H44" s="293"/>
      <c r="I44" s="293"/>
      <c r="J44" s="639">
        <f>J43</f>
        <v>3500</v>
      </c>
      <c r="K44" s="640"/>
      <c r="L44" s="640"/>
      <c r="M44" s="18"/>
      <c r="N44" s="18"/>
      <c r="O44" s="18"/>
      <c r="P44" s="18"/>
      <c r="Q44" s="18"/>
    </row>
    <row r="45" spans="1:17" ht="21" x14ac:dyDescent="0.35">
      <c r="A45" s="293" t="s">
        <v>320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</row>
    <row r="46" spans="1:17" ht="21" x14ac:dyDescent="0.35">
      <c r="A46" s="293"/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</row>
    <row r="48" spans="1:17" ht="21" x14ac:dyDescent="0.35">
      <c r="A48" s="275" t="s">
        <v>6</v>
      </c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</row>
    <row r="49" spans="1:17" ht="21" x14ac:dyDescent="0.35">
      <c r="A49" s="275" t="s">
        <v>45</v>
      </c>
      <c r="B49" s="275"/>
      <c r="C49" s="275"/>
      <c r="D49" s="275"/>
      <c r="E49" s="275"/>
      <c r="F49" s="275"/>
      <c r="G49" s="275"/>
      <c r="H49" s="1"/>
      <c r="I49" s="1"/>
      <c r="J49" s="275" t="s">
        <v>44</v>
      </c>
      <c r="K49" s="275"/>
      <c r="L49" s="275"/>
      <c r="M49" s="275"/>
      <c r="N49" s="275"/>
      <c r="O49" s="275"/>
      <c r="P49" s="275"/>
    </row>
    <row r="50" spans="1:17" ht="21" x14ac:dyDescent="0.35">
      <c r="A50" s="3" t="s">
        <v>10</v>
      </c>
      <c r="B50" s="290" t="str">
        <f>'Пр №1'!B50:G50</f>
        <v xml:space="preserve"> Зинченко Михаил Александрович</v>
      </c>
      <c r="C50" s="290"/>
      <c r="D50" s="290"/>
      <c r="E50" s="290"/>
      <c r="F50" s="290"/>
      <c r="G50" s="290"/>
      <c r="H50" s="3"/>
      <c r="I50" s="3"/>
      <c r="J50" s="290" t="str">
        <f>'Акт возв'!J41:K41</f>
        <v>Ф.И.О.:</v>
      </c>
      <c r="K50" s="290"/>
      <c r="L50" s="290" t="str">
        <f>'Пр №1'!L50:Q50</f>
        <v>ХХХХ ХХХХ ХХХХ</v>
      </c>
      <c r="M50" s="290"/>
      <c r="N50" s="290"/>
      <c r="O50" s="290"/>
      <c r="P50" s="290"/>
      <c r="Q50" s="290"/>
    </row>
    <row r="51" spans="1:17" ht="21" x14ac:dyDescent="0.35">
      <c r="A51" s="3" t="s">
        <v>28</v>
      </c>
      <c r="B51" s="363">
        <f>'Пр №1'!B51:G51</f>
        <v>22212200650516</v>
      </c>
      <c r="C51" s="363"/>
      <c r="D51" s="363"/>
      <c r="E51" s="363"/>
      <c r="F51" s="363"/>
      <c r="G51" s="363"/>
      <c r="H51" s="3"/>
      <c r="I51" s="12"/>
      <c r="J51" s="363" t="str">
        <f>'Акт возв'!J42:K42</f>
        <v>ПИН:</v>
      </c>
      <c r="K51" s="363"/>
      <c r="L51" s="363" t="str">
        <f>'Пр №1'!L51:P51</f>
        <v>ХХХХ</v>
      </c>
      <c r="M51" s="363"/>
      <c r="N51" s="363"/>
      <c r="O51" s="363"/>
      <c r="P51" s="363"/>
      <c r="Q51" s="23"/>
    </row>
    <row r="52" spans="1:17" ht="21" x14ac:dyDescent="0.35">
      <c r="A52" s="290" t="s">
        <v>29</v>
      </c>
      <c r="B52" s="290"/>
      <c r="C52" s="13" t="str">
        <f>'Пр №1'!C52</f>
        <v>ID</v>
      </c>
      <c r="D52" s="13" t="s">
        <v>12</v>
      </c>
      <c r="E52" s="290">
        <f>'Пр №1'!E52:G52</f>
        <v>3219844</v>
      </c>
      <c r="F52" s="290"/>
      <c r="G52" s="290"/>
      <c r="H52" s="3"/>
      <c r="I52" s="3"/>
      <c r="J52" s="290" t="str">
        <f>'Акт возв'!J43:K43</f>
        <v>Паспорт:</v>
      </c>
      <c r="K52" s="290"/>
      <c r="L52" s="13" t="str">
        <f>'Пр №1'!L52</f>
        <v>ХХХ</v>
      </c>
      <c r="M52" s="13" t="s">
        <v>12</v>
      </c>
      <c r="N52" s="290" t="str">
        <f>'Пр №1'!N52:O52</f>
        <v>ХХХХХ</v>
      </c>
      <c r="O52" s="290"/>
      <c r="P52" s="3"/>
    </row>
    <row r="53" spans="1:17" ht="21" x14ac:dyDescent="0.35">
      <c r="A53" s="290" t="s">
        <v>30</v>
      </c>
      <c r="B53" s="290"/>
      <c r="C53" s="290" t="str">
        <f>'Пр №1'!C53:G53</f>
        <v>МКК 218011 от 12.02.2023</v>
      </c>
      <c r="D53" s="290"/>
      <c r="E53" s="290"/>
      <c r="F53" s="290"/>
      <c r="G53" s="290"/>
      <c r="H53" s="16"/>
      <c r="I53" s="3"/>
      <c r="J53" s="290" t="str">
        <f>'Акт возв'!J44:K44</f>
        <v>Выдан:</v>
      </c>
      <c r="K53" s="290"/>
      <c r="L53" s="276" t="str">
        <f>'Пр №1'!L53:O53</f>
        <v>МКК</v>
      </c>
      <c r="M53" s="276"/>
      <c r="N53" s="276"/>
      <c r="O53" s="276"/>
      <c r="P53" s="3"/>
    </row>
    <row r="54" spans="1:17" ht="21" x14ac:dyDescent="0.35">
      <c r="A54" s="290" t="s">
        <v>31</v>
      </c>
      <c r="B54" s="290"/>
      <c r="C54" s="290" t="str">
        <f>'Пр №1'!C54:G54</f>
        <v>г. Бишкек</v>
      </c>
      <c r="D54" s="290"/>
      <c r="E54" s="290"/>
      <c r="F54" s="290"/>
      <c r="G54" s="290"/>
      <c r="H54" s="11"/>
      <c r="I54" s="3"/>
      <c r="J54" s="290" t="str">
        <f>'Акт возв'!J45:K45</f>
        <v>Адрес:</v>
      </c>
      <c r="K54" s="290"/>
      <c r="L54" s="290" t="str">
        <f>'Пр №1'!L54:Q54</f>
        <v>Чуйская область г. Бишкек</v>
      </c>
      <c r="M54" s="290"/>
      <c r="N54" s="290"/>
      <c r="O54" s="290"/>
      <c r="P54" s="290"/>
      <c r="Q54" s="290"/>
    </row>
    <row r="55" spans="1:17" ht="21" x14ac:dyDescent="0.35">
      <c r="A55" s="290" t="str">
        <f>'Пр №1'!A55:G55</f>
        <v>ул. Ялтинская д. №  56</v>
      </c>
      <c r="B55" s="290"/>
      <c r="C55" s="290"/>
      <c r="D55" s="290"/>
      <c r="E55" s="290"/>
      <c r="F55" s="290"/>
      <c r="G55" s="290"/>
      <c r="H55" s="3"/>
      <c r="I55" s="3"/>
      <c r="J55" s="290" t="str">
        <f>'Пр №1'!J55:P55</f>
        <v>ул. ХХХХХ</v>
      </c>
      <c r="K55" s="290"/>
      <c r="L55" s="290"/>
      <c r="M55" s="290"/>
      <c r="N55" s="290"/>
      <c r="O55" s="290"/>
      <c r="P55" s="290"/>
      <c r="Q55" s="290"/>
    </row>
    <row r="56" spans="1:17" ht="21" x14ac:dyDescent="0.35">
      <c r="A56" s="290" t="s">
        <v>32</v>
      </c>
      <c r="B56" s="290"/>
      <c r="C56" s="290"/>
      <c r="D56" s="290">
        <f>'Пр №1'!D56:G56</f>
        <v>720051</v>
      </c>
      <c r="E56" s="290"/>
      <c r="F56" s="290"/>
      <c r="G56" s="290"/>
      <c r="H56" s="11"/>
      <c r="I56" s="3"/>
      <c r="J56" s="290" t="str">
        <f>'Акт возв'!J47:L47</f>
        <v>Почтовый индекс:</v>
      </c>
      <c r="K56" s="290"/>
      <c r="L56" s="290"/>
      <c r="M56" s="290">
        <f>'Пр №1'!M56:N56</f>
        <v>0</v>
      </c>
      <c r="N56" s="290"/>
      <c r="O56" s="3"/>
      <c r="P56" s="3"/>
    </row>
    <row r="57" spans="1:17" ht="21" x14ac:dyDescent="0.35">
      <c r="A57" s="290" t="s">
        <v>7</v>
      </c>
      <c r="B57" s="290"/>
      <c r="C57" s="290"/>
      <c r="D57" s="290"/>
      <c r="E57" s="290"/>
      <c r="F57" s="290"/>
      <c r="G57" s="290"/>
      <c r="H57" s="3"/>
      <c r="I57" s="3"/>
      <c r="J57" s="290" t="str">
        <f>'Акт возв'!J48:P48</f>
        <v>Банковские реквизиты:</v>
      </c>
      <c r="K57" s="290"/>
      <c r="L57" s="290"/>
      <c r="M57" s="290"/>
      <c r="N57" s="290"/>
      <c r="O57" s="290"/>
      <c r="P57" s="290"/>
    </row>
    <row r="58" spans="1:17" ht="21" x14ac:dyDescent="0.35">
      <c r="A58" s="290" t="str">
        <f>'Пр №1'!A58:G58</f>
        <v>ОАО "МБАНК" ФИЛИАЛ "МБАНК ПЛАЗА"</v>
      </c>
      <c r="B58" s="290"/>
      <c r="C58" s="290"/>
      <c r="D58" s="290"/>
      <c r="E58" s="290"/>
      <c r="F58" s="290"/>
      <c r="G58" s="290"/>
      <c r="H58" s="3"/>
      <c r="I58" s="3"/>
      <c r="J58" s="290">
        <f>'Пр №1'!J58:P58</f>
        <v>0</v>
      </c>
      <c r="K58" s="290"/>
      <c r="L58" s="290"/>
      <c r="M58" s="290"/>
      <c r="N58" s="290"/>
      <c r="O58" s="290"/>
      <c r="P58" s="290"/>
    </row>
    <row r="59" spans="1:17" ht="21" x14ac:dyDescent="0.35">
      <c r="A59" s="3" t="s">
        <v>49</v>
      </c>
      <c r="B59" s="363" t="str">
        <f>'Пр №1'!B59:G59</f>
        <v>"1033220001521202"</v>
      </c>
      <c r="C59" s="363"/>
      <c r="D59" s="363"/>
      <c r="E59" s="363"/>
      <c r="F59" s="363"/>
      <c r="G59" s="363"/>
      <c r="H59" s="3"/>
      <c r="I59" s="3"/>
      <c r="J59" s="3" t="str">
        <f>'Акт возв'!J50</f>
        <v>р/c:</v>
      </c>
      <c r="K59" s="363">
        <f>'Пр №1'!K59:P59</f>
        <v>0</v>
      </c>
      <c r="L59" s="363"/>
      <c r="M59" s="363"/>
      <c r="N59" s="363"/>
      <c r="O59" s="363"/>
      <c r="P59" s="363"/>
    </row>
    <row r="60" spans="1:17" ht="21" x14ac:dyDescent="0.35">
      <c r="A60" s="3" t="s">
        <v>9</v>
      </c>
      <c r="B60" s="290">
        <f>'Пр №1'!B60:G60</f>
        <v>103032</v>
      </c>
      <c r="C60" s="290"/>
      <c r="D60" s="290"/>
      <c r="E60" s="290"/>
      <c r="F60" s="290"/>
      <c r="G60" s="290"/>
      <c r="H60" s="3"/>
      <c r="I60" s="3"/>
      <c r="J60" s="3" t="str">
        <f>'Акт возв'!J51</f>
        <v>БИК:</v>
      </c>
      <c r="K60" s="290">
        <f>'Пр №1'!K60:P60</f>
        <v>0</v>
      </c>
      <c r="L60" s="290"/>
      <c r="M60" s="290"/>
      <c r="N60" s="290"/>
      <c r="O60" s="290"/>
      <c r="P60" s="290"/>
    </row>
    <row r="61" spans="1:17" ht="21" x14ac:dyDescent="0.35">
      <c r="A61" s="290" t="str">
        <f>'Пр №1'!A61:G61</f>
        <v>УГНС 003 Свердловского района</v>
      </c>
      <c r="B61" s="290"/>
      <c r="C61" s="290"/>
      <c r="D61" s="290"/>
      <c r="E61" s="290"/>
      <c r="F61" s="290"/>
      <c r="G61" s="290"/>
      <c r="H61" s="3"/>
      <c r="I61" s="3"/>
      <c r="J61" s="290" t="str">
        <f>'Акт возв'!J52:P52</f>
        <v>УГНС 000</v>
      </c>
      <c r="K61" s="290"/>
      <c r="L61" s="290"/>
      <c r="M61" s="290"/>
      <c r="N61" s="290"/>
      <c r="O61" s="290"/>
      <c r="P61" s="290"/>
    </row>
    <row r="62" spans="1:17" ht="21" x14ac:dyDescent="0.35">
      <c r="A62" s="3" t="str">
        <f>'Пр №1'!A62</f>
        <v>ОКПО:</v>
      </c>
      <c r="B62" s="276">
        <f>'Пр №1'!B62</f>
        <v>33158934</v>
      </c>
      <c r="C62" s="27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7" ht="21" x14ac:dyDescent="0.35">
      <c r="A63" s="276" t="str">
        <f>'Счет '!A60:C60</f>
        <v>З. М.</v>
      </c>
      <c r="B63" s="276"/>
      <c r="C63" s="276"/>
      <c r="D63" s="276" t="str">
        <f>'Счет '!D60:F60</f>
        <v>________________________</v>
      </c>
      <c r="E63" s="276"/>
      <c r="F63" s="276"/>
      <c r="G63" s="3"/>
      <c r="H63" s="3"/>
      <c r="I63" s="3"/>
      <c r="J63" s="276" t="str">
        <f>'Пр №1'!J63:L63</f>
        <v>ХХХХ Х. Х.</v>
      </c>
      <c r="K63" s="276"/>
      <c r="L63" s="276"/>
      <c r="M63" s="290" t="s">
        <v>33</v>
      </c>
      <c r="N63" s="290"/>
      <c r="O63" s="290"/>
      <c r="P63" s="290"/>
    </row>
    <row r="64" spans="1:17" ht="21" x14ac:dyDescent="0.35">
      <c r="A64" s="3"/>
      <c r="B64" s="3"/>
      <c r="C64" s="3"/>
      <c r="D64" s="283" t="str">
        <f>'Акт возв'!D55:F55</f>
        <v>(подпись)</v>
      </c>
      <c r="E64" s="283"/>
      <c r="F64" s="283"/>
      <c r="G64" s="37"/>
      <c r="H64" s="37"/>
      <c r="I64" s="37"/>
      <c r="J64" s="37"/>
      <c r="K64" s="37"/>
      <c r="L64" s="37"/>
      <c r="M64" s="283">
        <f>'Акт возв'!M55:P55</f>
        <v>0</v>
      </c>
      <c r="N64" s="283"/>
      <c r="O64" s="283"/>
      <c r="P64" s="283"/>
    </row>
    <row r="65" spans="1:16" ht="21" x14ac:dyDescent="0.35">
      <c r="A65" s="9" t="str">
        <f>'Пр №1'!A65</f>
        <v xml:space="preserve"> «</v>
      </c>
      <c r="B65" s="15">
        <f ca="1">'Пр №1'!B65</f>
        <v>9</v>
      </c>
      <c r="C65" s="10" t="str">
        <f>'Пр №1'!C65</f>
        <v>»</v>
      </c>
      <c r="D65" s="366" t="str">
        <f ca="1">'Пр №1'!D65:E65</f>
        <v>Январь</v>
      </c>
      <c r="E65" s="366"/>
      <c r="F65" s="10">
        <f ca="1">'Пр №1'!F65</f>
        <v>2026</v>
      </c>
      <c r="G65" s="10" t="str">
        <f>'Пр №1'!G65</f>
        <v>г.</v>
      </c>
      <c r="H65" s="9"/>
      <c r="I65" s="15"/>
      <c r="J65" s="5" t="str">
        <f>A65</f>
        <v xml:space="preserve"> «</v>
      </c>
      <c r="K65" s="5">
        <f ca="1">B65</f>
        <v>9</v>
      </c>
      <c r="L65" s="1" t="str">
        <f>C65</f>
        <v>»</v>
      </c>
      <c r="M65" s="275" t="str">
        <f ca="1">D65</f>
        <v>Январь</v>
      </c>
      <c r="N65" s="275"/>
      <c r="O65" s="1">
        <f ca="1">F65</f>
        <v>2026</v>
      </c>
      <c r="P65" s="1" t="str">
        <f>G65</f>
        <v>г.</v>
      </c>
    </row>
    <row r="66" spans="1:16" ht="21" x14ac:dyDescent="0.35">
      <c r="A66" s="276" t="s">
        <v>26</v>
      </c>
      <c r="B66" s="276"/>
      <c r="C66" s="276" t="str">
        <f>'Пр №1'!C66:G66</f>
        <v>+996 (552) 727 607</v>
      </c>
      <c r="D66" s="276"/>
      <c r="E66" s="276"/>
      <c r="F66" s="276"/>
      <c r="G66" s="276"/>
      <c r="H66" s="3"/>
      <c r="I66" s="3"/>
      <c r="J66" s="276" t="s">
        <v>26</v>
      </c>
      <c r="K66" s="276"/>
      <c r="L66" s="362" t="str">
        <f>'Пр №1'!L66:P66</f>
        <v>ХХХХ ХХХ ХХХХХ</v>
      </c>
      <c r="M66" s="362"/>
      <c r="N66" s="362"/>
      <c r="O66" s="362"/>
      <c r="P66" s="362"/>
    </row>
  </sheetData>
  <mergeCells count="170">
    <mergeCell ref="A15:B15"/>
    <mergeCell ref="C15:F15"/>
    <mergeCell ref="G15:J15"/>
    <mergeCell ref="K15:P15"/>
    <mergeCell ref="A14:G14"/>
    <mergeCell ref="H14:Q14"/>
    <mergeCell ref="A3:Q3"/>
    <mergeCell ref="A4:Q4"/>
    <mergeCell ref="A5:I5"/>
    <mergeCell ref="B6:E6"/>
    <mergeCell ref="L6:M6"/>
    <mergeCell ref="A13:B13"/>
    <mergeCell ref="N13:Q13"/>
    <mergeCell ref="A8:Q8"/>
    <mergeCell ref="A9:Q9"/>
    <mergeCell ref="A11:H11"/>
    <mergeCell ref="I11:Q11"/>
    <mergeCell ref="A12:D12"/>
    <mergeCell ref="G12:H12"/>
    <mergeCell ref="N12:Q12"/>
    <mergeCell ref="H10:Q10"/>
    <mergeCell ref="A7:F7"/>
    <mergeCell ref="G7:Q7"/>
    <mergeCell ref="I13:M13"/>
    <mergeCell ref="C13:H13"/>
    <mergeCell ref="A10:B10"/>
    <mergeCell ref="C10:G10"/>
    <mergeCell ref="A45:Q45"/>
    <mergeCell ref="A46:Q46"/>
    <mergeCell ref="A48:O48"/>
    <mergeCell ref="A49:G49"/>
    <mergeCell ref="J49:P49"/>
    <mergeCell ref="N35:Q35"/>
    <mergeCell ref="A16:Q16"/>
    <mergeCell ref="A17:D17"/>
    <mergeCell ref="A18:I18"/>
    <mergeCell ref="A19:O19"/>
    <mergeCell ref="H21:I21"/>
    <mergeCell ref="K21:K22"/>
    <mergeCell ref="L21:L22"/>
    <mergeCell ref="M21:M22"/>
    <mergeCell ref="N21:O22"/>
    <mergeCell ref="P21:Q22"/>
    <mergeCell ref="H22:I22"/>
    <mergeCell ref="A23:A24"/>
    <mergeCell ref="B23:F24"/>
    <mergeCell ref="G23:G24"/>
    <mergeCell ref="H23:I23"/>
    <mergeCell ref="B50:G50"/>
    <mergeCell ref="J50:K50"/>
    <mergeCell ref="L50:Q50"/>
    <mergeCell ref="N38:Q38"/>
    <mergeCell ref="A42:H42"/>
    <mergeCell ref="A40:K40"/>
    <mergeCell ref="L40:M40"/>
    <mergeCell ref="N40:Q40"/>
    <mergeCell ref="J43:Q43"/>
    <mergeCell ref="A43:I43"/>
    <mergeCell ref="O42:Q42"/>
    <mergeCell ref="A53:B53"/>
    <mergeCell ref="C53:G53"/>
    <mergeCell ref="J53:K53"/>
    <mergeCell ref="L53:O53"/>
    <mergeCell ref="A54:B54"/>
    <mergeCell ref="C54:G54"/>
    <mergeCell ref="J54:K54"/>
    <mergeCell ref="L54:Q54"/>
    <mergeCell ref="B51:G51"/>
    <mergeCell ref="J51:K51"/>
    <mergeCell ref="L51:P51"/>
    <mergeCell ref="A52:B52"/>
    <mergeCell ref="E52:G52"/>
    <mergeCell ref="J52:K52"/>
    <mergeCell ref="N52:O52"/>
    <mergeCell ref="A57:G57"/>
    <mergeCell ref="J57:P57"/>
    <mergeCell ref="A58:G58"/>
    <mergeCell ref="J58:P58"/>
    <mergeCell ref="B59:G59"/>
    <mergeCell ref="K59:P59"/>
    <mergeCell ref="A55:G55"/>
    <mergeCell ref="J55:Q55"/>
    <mergeCell ref="A56:C56"/>
    <mergeCell ref="D56:G56"/>
    <mergeCell ref="J56:L56"/>
    <mergeCell ref="M56:N56"/>
    <mergeCell ref="D65:E65"/>
    <mergeCell ref="M65:N65"/>
    <mergeCell ref="A66:B66"/>
    <mergeCell ref="C66:G66"/>
    <mergeCell ref="J66:K66"/>
    <mergeCell ref="L66:P66"/>
    <mergeCell ref="B60:G60"/>
    <mergeCell ref="K60:P60"/>
    <mergeCell ref="A61:G61"/>
    <mergeCell ref="J61:P61"/>
    <mergeCell ref="J63:L63"/>
    <mergeCell ref="M63:P63"/>
    <mergeCell ref="A63:C63"/>
    <mergeCell ref="D63:F63"/>
    <mergeCell ref="M64:P64"/>
    <mergeCell ref="D64:F64"/>
    <mergeCell ref="B62:C62"/>
    <mergeCell ref="K23:K24"/>
    <mergeCell ref="L23:L24"/>
    <mergeCell ref="B20:F20"/>
    <mergeCell ref="H20:I20"/>
    <mergeCell ref="N20:O20"/>
    <mergeCell ref="P20:Q20"/>
    <mergeCell ref="A21:A22"/>
    <mergeCell ref="B21:F22"/>
    <mergeCell ref="M23:M24"/>
    <mergeCell ref="N23:O24"/>
    <mergeCell ref="P23:Q24"/>
    <mergeCell ref="H24:I24"/>
    <mergeCell ref="G21:G22"/>
    <mergeCell ref="A25:A26"/>
    <mergeCell ref="B25:F26"/>
    <mergeCell ref="G25:G26"/>
    <mergeCell ref="H25:I25"/>
    <mergeCell ref="K25:K26"/>
    <mergeCell ref="L25:L26"/>
    <mergeCell ref="M25:M26"/>
    <mergeCell ref="N25:O26"/>
    <mergeCell ref="P25:Q26"/>
    <mergeCell ref="H26:I26"/>
    <mergeCell ref="A27:A28"/>
    <mergeCell ref="B27:F28"/>
    <mergeCell ref="G27:G28"/>
    <mergeCell ref="H27:I27"/>
    <mergeCell ref="K27:K28"/>
    <mergeCell ref="L27:L28"/>
    <mergeCell ref="M27:M28"/>
    <mergeCell ref="N27:O28"/>
    <mergeCell ref="P27:Q28"/>
    <mergeCell ref="H28:I28"/>
    <mergeCell ref="A29:A30"/>
    <mergeCell ref="B29:F30"/>
    <mergeCell ref="G29:G30"/>
    <mergeCell ref="H29:I29"/>
    <mergeCell ref="K29:K30"/>
    <mergeCell ref="L29:L30"/>
    <mergeCell ref="M29:M30"/>
    <mergeCell ref="N29:O30"/>
    <mergeCell ref="P29:Q30"/>
    <mergeCell ref="H30:I30"/>
    <mergeCell ref="P31:Q31"/>
    <mergeCell ref="M31:O31"/>
    <mergeCell ref="A44:I44"/>
    <mergeCell ref="J44:L44"/>
    <mergeCell ref="B34:F34"/>
    <mergeCell ref="G34:M34"/>
    <mergeCell ref="B35:F35"/>
    <mergeCell ref="B36:F36"/>
    <mergeCell ref="B37:F37"/>
    <mergeCell ref="B39:F39"/>
    <mergeCell ref="G35:M35"/>
    <mergeCell ref="G36:M36"/>
    <mergeCell ref="G37:M37"/>
    <mergeCell ref="G39:M39"/>
    <mergeCell ref="B38:F38"/>
    <mergeCell ref="G38:M38"/>
    <mergeCell ref="A31:L31"/>
    <mergeCell ref="A32:G32"/>
    <mergeCell ref="H32:J32"/>
    <mergeCell ref="N37:Q37"/>
    <mergeCell ref="N36:Q36"/>
    <mergeCell ref="N39:Q39"/>
    <mergeCell ref="A33:Q33"/>
    <mergeCell ref="N34:Q34"/>
  </mergeCells>
  <pageMargins left="0.37" right="0.35" top="0.32" bottom="0.28000000000000003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5">
    <pageSetUpPr fitToPage="1"/>
  </sheetPr>
  <dimension ref="A3:Q63"/>
  <sheetViews>
    <sheetView showZeros="0" zoomScale="80" zoomScaleNormal="80" workbookViewId="0">
      <selection activeCell="B18" sqref="B18:G18"/>
    </sheetView>
  </sheetViews>
  <sheetFormatPr defaultRowHeight="15" x14ac:dyDescent="0.25"/>
  <cols>
    <col min="3" max="3" width="12.85546875" bestFit="1" customWidth="1"/>
    <col min="6" max="6" width="14.140625" customWidth="1"/>
    <col min="8" max="8" width="9.140625" customWidth="1"/>
    <col min="10" max="10" width="11.140625" customWidth="1"/>
    <col min="15" max="15" width="11.42578125" customWidth="1"/>
    <col min="16" max="16" width="9.140625" customWidth="1"/>
    <col min="17" max="17" width="16" customWidth="1"/>
  </cols>
  <sheetData>
    <row r="3" spans="1:17" ht="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7" thickBot="1" x14ac:dyDescent="0.45">
      <c r="A4" s="348" t="s">
        <v>82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</row>
    <row r="5" spans="1:17" ht="21.75" thickBot="1" x14ac:dyDescent="0.4">
      <c r="A5" s="1"/>
      <c r="B5" s="1"/>
      <c r="C5" s="1"/>
      <c r="D5" s="1"/>
      <c r="E5" s="1"/>
      <c r="F5" s="1"/>
      <c r="G5" s="1"/>
      <c r="H5" s="1"/>
      <c r="I5" s="1"/>
      <c r="J5" s="5" t="s">
        <v>12</v>
      </c>
      <c r="K5" s="216">
        <f ca="1">'Пр №1'!J3</f>
        <v>9</v>
      </c>
      <c r="L5" s="217">
        <f ca="1">'Пр №1'!K3</f>
        <v>1</v>
      </c>
      <c r="M5" s="217">
        <f ca="1">'Пр №1'!L3</f>
        <v>2026</v>
      </c>
      <c r="N5" s="223">
        <f ca="1">'Пр №1'!M3</f>
        <v>46031.871582060186</v>
      </c>
      <c r="O5" s="224">
        <f>'Акт слом'!O5</f>
        <v>1</v>
      </c>
    </row>
    <row r="6" spans="1:17" ht="21" x14ac:dyDescent="0.35">
      <c r="A6" s="1"/>
      <c r="B6" s="275" t="str">
        <f>Дог.!B13</f>
        <v xml:space="preserve">г. Бишкек </v>
      </c>
      <c r="C6" s="275"/>
      <c r="D6" s="275"/>
      <c r="E6" s="275"/>
      <c r="F6" s="1"/>
      <c r="G6" s="1"/>
      <c r="H6" s="1"/>
      <c r="I6" s="7" t="str">
        <f>'Пр №1'!I5</f>
        <v xml:space="preserve"> «</v>
      </c>
      <c r="J6" s="5">
        <f ca="1">'Пр №1'!J5</f>
        <v>9</v>
      </c>
      <c r="K6" s="1" t="str">
        <f>'Пр №1'!K5</f>
        <v>»</v>
      </c>
      <c r="L6" s="275" t="str">
        <f ca="1">'Пр №1'!L5</f>
        <v>Январь</v>
      </c>
      <c r="M6" s="275"/>
      <c r="N6" s="1">
        <f ca="1">'Пр №1'!N5</f>
        <v>2026</v>
      </c>
      <c r="O6" s="1" t="str">
        <f>'Пр №1'!O5</f>
        <v>г.</v>
      </c>
    </row>
    <row r="7" spans="1:17" ht="21" x14ac:dyDescent="0.35">
      <c r="A7" s="302" t="str">
        <f>'Акт расч'!A7:E7</f>
        <v xml:space="preserve"> Зинченко Михаил Александрович</v>
      </c>
      <c r="B7" s="302"/>
      <c r="C7" s="302"/>
      <c r="D7" s="302"/>
      <c r="E7" s="302"/>
      <c r="F7" s="302"/>
      <c r="G7" s="353" t="str">
        <f>'Акт расч'!G7:Q7</f>
        <v>22.12.2006 года рождения, паспорт: ID3219844 выдан MKK 218011 от 12.02.2023 г.</v>
      </c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21" x14ac:dyDescent="0.35">
      <c r="A8" s="350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17" ht="21" x14ac:dyDescent="0.35">
      <c r="A9" s="350" t="str">
        <f>'Пр №1'!A8:Q8</f>
        <v>регистрации индивидуального предпринимателя по Свердловскому району г. Бишкек № 003-2024-169-5930 от 08.08.2024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</row>
    <row r="10" spans="1:17" ht="21" x14ac:dyDescent="0.25">
      <c r="A10" s="27" t="s">
        <v>28</v>
      </c>
      <c r="B10" s="653">
        <f>'Пр №1'!C9</f>
        <v>22212200650516</v>
      </c>
      <c r="C10" s="653"/>
      <c r="D10" s="653"/>
      <c r="E10" s="663" t="str">
        <f>A54</f>
        <v>Банковские реквизиты:</v>
      </c>
      <c r="F10" s="663"/>
      <c r="G10" s="663"/>
      <c r="H10" s="663" t="str">
        <f>A55</f>
        <v>ОАО "МБАНК" ФИЛИАЛ "МБАНК ПЛАЗА"</v>
      </c>
      <c r="I10" s="663"/>
      <c r="J10" s="663"/>
      <c r="K10" s="663"/>
      <c r="L10" s="663"/>
      <c r="M10" s="663"/>
      <c r="N10" s="663"/>
      <c r="O10" s="663"/>
      <c r="P10" s="240" t="str">
        <f>A57</f>
        <v>БИК:</v>
      </c>
      <c r="Q10" s="116">
        <f>B57</f>
        <v>103032</v>
      </c>
    </row>
    <row r="11" spans="1:17" ht="21" x14ac:dyDescent="0.35">
      <c r="A11" s="17" t="str">
        <f>A56</f>
        <v>р/c:</v>
      </c>
      <c r="B11" s="671" t="str">
        <f>B56</f>
        <v>"1033220001521202"</v>
      </c>
      <c r="C11" s="351"/>
      <c r="D11" s="351"/>
      <c r="E11" s="351"/>
      <c r="F11" s="351"/>
      <c r="G11" s="352" t="str">
        <f>A58</f>
        <v>УГНС 003 Свердловского района</v>
      </c>
      <c r="H11" s="352"/>
      <c r="I11" s="352"/>
      <c r="J11" s="352"/>
      <c r="K11" s="352"/>
      <c r="L11" s="29"/>
      <c r="M11" s="17"/>
      <c r="N11" s="17"/>
      <c r="O11" s="17"/>
      <c r="P11" s="17"/>
      <c r="Q11" s="27"/>
    </row>
    <row r="12" spans="1:17" ht="21.75" thickBot="1" x14ac:dyDescent="0.4">
      <c r="A12" s="1"/>
      <c r="B12" s="670"/>
      <c r="C12" s="670"/>
      <c r="D12" s="275"/>
      <c r="E12" s="275"/>
      <c r="F12" s="275"/>
      <c r="G12" s="275"/>
      <c r="H12" s="2"/>
      <c r="I12" s="5"/>
      <c r="J12" s="2"/>
      <c r="K12" s="2"/>
      <c r="L12" s="2"/>
      <c r="M12" s="2"/>
      <c r="N12" s="1"/>
      <c r="O12" s="1"/>
      <c r="P12" s="1"/>
      <c r="Q12" s="18"/>
    </row>
    <row r="13" spans="1:17" ht="21.75" thickBot="1" x14ac:dyDescent="0.4">
      <c r="A13" s="293" t="s">
        <v>51</v>
      </c>
      <c r="B13" s="293"/>
      <c r="C13" s="293"/>
      <c r="D13" s="293"/>
      <c r="E13" s="293"/>
      <c r="F13" s="293"/>
      <c r="G13" s="293"/>
      <c r="H13" s="293"/>
      <c r="I13" s="293"/>
      <c r="J13" s="5" t="s">
        <v>12</v>
      </c>
      <c r="K13" s="216">
        <f ca="1">K5</f>
        <v>9</v>
      </c>
      <c r="L13" s="217">
        <f ca="1">L5</f>
        <v>1</v>
      </c>
      <c r="M13" s="217">
        <f ca="1">M5</f>
        <v>2026</v>
      </c>
      <c r="N13" s="223">
        <f ca="1">N5</f>
        <v>46031.871582060186</v>
      </c>
      <c r="O13" s="224">
        <f>O5</f>
        <v>1</v>
      </c>
    </row>
    <row r="14" spans="1:17" ht="21" x14ac:dyDescent="0.35">
      <c r="A14" s="290" t="s">
        <v>137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</row>
    <row r="15" spans="1:17" ht="21" x14ac:dyDescent="0.35">
      <c r="A15" s="416" t="s">
        <v>67</v>
      </c>
      <c r="B15" s="416"/>
      <c r="C15" s="662" t="str">
        <f>'Акт расч'!A11</f>
        <v>ХХХХ ХХХХ ХХХХ</v>
      </c>
      <c r="D15" s="662"/>
      <c r="E15" s="662"/>
      <c r="F15" s="662"/>
      <c r="G15" s="662"/>
      <c r="H15" s="662"/>
      <c r="I15" s="662"/>
      <c r="J15" s="662"/>
      <c r="K15" s="662"/>
      <c r="L15" s="30"/>
      <c r="M15" s="30"/>
      <c r="N15" s="30"/>
      <c r="O15" s="30"/>
      <c r="P15" s="30"/>
      <c r="Q15" s="30"/>
    </row>
    <row r="16" spans="1:17" ht="21" x14ac:dyDescent="0.25">
      <c r="A16" s="25" t="s">
        <v>12</v>
      </c>
      <c r="B16" s="388" t="s">
        <v>59</v>
      </c>
      <c r="C16" s="389"/>
      <c r="D16" s="389"/>
      <c r="E16" s="389"/>
      <c r="F16" s="389"/>
      <c r="G16" s="390"/>
      <c r="H16" s="376" t="s">
        <v>77</v>
      </c>
      <c r="I16" s="376"/>
      <c r="J16" s="387" t="s">
        <v>69</v>
      </c>
      <c r="K16" s="387"/>
      <c r="L16" s="387" t="s">
        <v>60</v>
      </c>
      <c r="M16" s="387"/>
      <c r="N16" s="387" t="s">
        <v>61</v>
      </c>
      <c r="O16" s="387"/>
      <c r="P16" s="387" t="s">
        <v>68</v>
      </c>
      <c r="Q16" s="387"/>
    </row>
    <row r="17" spans="1:17" ht="21" x14ac:dyDescent="0.25">
      <c r="A17" s="28">
        <v>1</v>
      </c>
      <c r="B17" s="657" t="str">
        <f>'Акт расч'!B20</f>
        <v>XXXXXXX</v>
      </c>
      <c r="C17" s="658"/>
      <c r="D17" s="658"/>
      <c r="E17" s="658"/>
      <c r="F17" s="658"/>
      <c r="G17" s="659"/>
      <c r="H17" s="445">
        <f>'Акт расч'!J20</f>
        <v>1</v>
      </c>
      <c r="I17" s="445"/>
      <c r="J17" s="445">
        <f ca="1">'Акт расч'!L20</f>
        <v>0</v>
      </c>
      <c r="K17" s="445"/>
      <c r="L17" s="445" t="str">
        <f>'Акт расч'!M20</f>
        <v>Сут</v>
      </c>
      <c r="M17" s="445"/>
      <c r="N17" s="660">
        <f>'Акт расч'!N20</f>
        <v>1500</v>
      </c>
      <c r="O17" s="660"/>
      <c r="P17" s="661">
        <f ca="1">'Акт расч'!P20</f>
        <v>0</v>
      </c>
      <c r="Q17" s="661"/>
    </row>
    <row r="18" spans="1:17" ht="21" x14ac:dyDescent="0.25">
      <c r="A18" s="28">
        <v>2</v>
      </c>
      <c r="B18" s="657">
        <f>'Акт расч'!B22</f>
        <v>0</v>
      </c>
      <c r="C18" s="658"/>
      <c r="D18" s="658"/>
      <c r="E18" s="658"/>
      <c r="F18" s="658"/>
      <c r="G18" s="659"/>
      <c r="H18" s="445">
        <f>'Акт расч'!J22</f>
        <v>0</v>
      </c>
      <c r="I18" s="445"/>
      <c r="J18" s="445">
        <f>'Акт расч'!L22</f>
        <v>0</v>
      </c>
      <c r="K18" s="445"/>
      <c r="L18" s="445">
        <f>'Акт расч'!M22</f>
        <v>0</v>
      </c>
      <c r="M18" s="445"/>
      <c r="N18" s="660">
        <f>'Акт расч'!N22</f>
        <v>0</v>
      </c>
      <c r="O18" s="660"/>
      <c r="P18" s="661">
        <f>'Акт расч'!P22</f>
        <v>0</v>
      </c>
      <c r="Q18" s="661"/>
    </row>
    <row r="19" spans="1:17" ht="21" x14ac:dyDescent="0.25">
      <c r="A19" s="28">
        <v>3</v>
      </c>
      <c r="B19" s="657">
        <f>'Акт расч'!B24</f>
        <v>0</v>
      </c>
      <c r="C19" s="658"/>
      <c r="D19" s="658"/>
      <c r="E19" s="658"/>
      <c r="F19" s="658"/>
      <c r="G19" s="659"/>
      <c r="H19" s="445">
        <f>'Акт расч'!J24</f>
        <v>0</v>
      </c>
      <c r="I19" s="445"/>
      <c r="J19" s="445">
        <f>'Акт расч'!L24</f>
        <v>0</v>
      </c>
      <c r="K19" s="445"/>
      <c r="L19" s="445">
        <f>'Акт расч'!M24</f>
        <v>0</v>
      </c>
      <c r="M19" s="445"/>
      <c r="N19" s="660">
        <f>'Акт расч'!N24</f>
        <v>0</v>
      </c>
      <c r="O19" s="660"/>
      <c r="P19" s="661">
        <f>'Акт расч'!P24</f>
        <v>0</v>
      </c>
      <c r="Q19" s="661"/>
    </row>
    <row r="20" spans="1:17" ht="21" x14ac:dyDescent="0.25">
      <c r="A20" s="28">
        <v>4</v>
      </c>
      <c r="B20" s="657">
        <f>'Акт расч'!B26</f>
        <v>0</v>
      </c>
      <c r="C20" s="658"/>
      <c r="D20" s="658"/>
      <c r="E20" s="658"/>
      <c r="F20" s="658"/>
      <c r="G20" s="659"/>
      <c r="H20" s="445">
        <f>'Акт расч'!J26</f>
        <v>0</v>
      </c>
      <c r="I20" s="445"/>
      <c r="J20" s="445">
        <f>'Акт расч'!L26</f>
        <v>0</v>
      </c>
      <c r="K20" s="445"/>
      <c r="L20" s="445">
        <f>'Акт расч'!M26</f>
        <v>0</v>
      </c>
      <c r="M20" s="445"/>
      <c r="N20" s="660">
        <f>'Акт расч'!N26</f>
        <v>0</v>
      </c>
      <c r="O20" s="660"/>
      <c r="P20" s="661">
        <f>'Акт расч'!P26</f>
        <v>0</v>
      </c>
      <c r="Q20" s="661"/>
    </row>
    <row r="21" spans="1:17" ht="21" x14ac:dyDescent="0.25">
      <c r="A21" s="28">
        <v>5</v>
      </c>
      <c r="B21" s="657">
        <f>'Акт расч'!B28</f>
        <v>0</v>
      </c>
      <c r="C21" s="658"/>
      <c r="D21" s="658"/>
      <c r="E21" s="658"/>
      <c r="F21" s="658"/>
      <c r="G21" s="659"/>
      <c r="H21" s="445">
        <f>'Акт расч'!J28</f>
        <v>0</v>
      </c>
      <c r="I21" s="445"/>
      <c r="J21" s="445">
        <f>'Акт расч'!L28</f>
        <v>0</v>
      </c>
      <c r="K21" s="445"/>
      <c r="L21" s="445">
        <f>'Акт расч'!M28</f>
        <v>0</v>
      </c>
      <c r="M21" s="445"/>
      <c r="N21" s="660">
        <f>'Акт расч'!N28</f>
        <v>0</v>
      </c>
      <c r="O21" s="660"/>
      <c r="P21" s="661">
        <f>'Акт расч'!P28</f>
        <v>0</v>
      </c>
      <c r="Q21" s="661"/>
    </row>
    <row r="22" spans="1:17" ht="21" x14ac:dyDescent="0.25">
      <c r="A22" s="28">
        <v>6</v>
      </c>
      <c r="B22" s="657">
        <f>'Акт расч'!B30</f>
        <v>0</v>
      </c>
      <c r="C22" s="658"/>
      <c r="D22" s="658"/>
      <c r="E22" s="658"/>
      <c r="F22" s="658"/>
      <c r="G22" s="659"/>
      <c r="H22" s="445">
        <f>'Акт расч'!J30</f>
        <v>0</v>
      </c>
      <c r="I22" s="445"/>
      <c r="J22" s="445">
        <f>'Акт расч'!L30</f>
        <v>0</v>
      </c>
      <c r="K22" s="445"/>
      <c r="L22" s="445">
        <f>'Акт расч'!M30</f>
        <v>0</v>
      </c>
      <c r="M22" s="445"/>
      <c r="N22" s="660">
        <f>'Акт расч'!N30</f>
        <v>0</v>
      </c>
      <c r="O22" s="660"/>
      <c r="P22" s="661">
        <f>'Акт расч'!P30</f>
        <v>0</v>
      </c>
      <c r="Q22" s="661"/>
    </row>
    <row r="23" spans="1:17" ht="21" x14ac:dyDescent="0.25">
      <c r="A23" s="28">
        <v>7</v>
      </c>
      <c r="B23" s="657">
        <f>'Акт расч'!B32</f>
        <v>0</v>
      </c>
      <c r="C23" s="658"/>
      <c r="D23" s="658"/>
      <c r="E23" s="658"/>
      <c r="F23" s="658"/>
      <c r="G23" s="659"/>
      <c r="H23" s="445">
        <f>'Акт расч'!J32</f>
        <v>0</v>
      </c>
      <c r="I23" s="445"/>
      <c r="J23" s="445">
        <f>'Акт расч'!L32</f>
        <v>0</v>
      </c>
      <c r="K23" s="445"/>
      <c r="L23" s="445">
        <f>'Акт расч'!M32</f>
        <v>0</v>
      </c>
      <c r="M23" s="445"/>
      <c r="N23" s="660">
        <f>'Акт расч'!N32</f>
        <v>0</v>
      </c>
      <c r="O23" s="660"/>
      <c r="P23" s="661">
        <f>'Акт расч'!P32</f>
        <v>0</v>
      </c>
      <c r="Q23" s="661"/>
    </row>
    <row r="24" spans="1:17" ht="21" x14ac:dyDescent="0.25">
      <c r="A24" s="28">
        <v>8</v>
      </c>
      <c r="B24" s="657">
        <f>'Акт расч'!B34</f>
        <v>0</v>
      </c>
      <c r="C24" s="658"/>
      <c r="D24" s="658"/>
      <c r="E24" s="658"/>
      <c r="F24" s="658"/>
      <c r="G24" s="659"/>
      <c r="H24" s="445">
        <f>'Акт расч'!J34</f>
        <v>0</v>
      </c>
      <c r="I24" s="445"/>
      <c r="J24" s="445">
        <f>'Акт расч'!L34</f>
        <v>0</v>
      </c>
      <c r="K24" s="445"/>
      <c r="L24" s="445">
        <f>'Акт расч'!M34</f>
        <v>0</v>
      </c>
      <c r="M24" s="445"/>
      <c r="N24" s="660">
        <f>'Акт расч'!N34</f>
        <v>0</v>
      </c>
      <c r="O24" s="660"/>
      <c r="P24" s="661">
        <f>'Акт расч'!P34</f>
        <v>0</v>
      </c>
      <c r="Q24" s="661"/>
    </row>
    <row r="25" spans="1:17" ht="21" x14ac:dyDescent="0.25">
      <c r="A25" s="28">
        <v>9</v>
      </c>
      <c r="B25" s="657">
        <f>'Акт расч'!B36</f>
        <v>0</v>
      </c>
      <c r="C25" s="658"/>
      <c r="D25" s="658"/>
      <c r="E25" s="658"/>
      <c r="F25" s="658"/>
      <c r="G25" s="659"/>
      <c r="H25" s="445">
        <f>'Акт расч'!J36</f>
        <v>0</v>
      </c>
      <c r="I25" s="445"/>
      <c r="J25" s="445">
        <f>'Акт расч'!L36</f>
        <v>0</v>
      </c>
      <c r="K25" s="445"/>
      <c r="L25" s="445">
        <f>'Акт расч'!M36</f>
        <v>0</v>
      </c>
      <c r="M25" s="445"/>
      <c r="N25" s="660">
        <f>'Акт расч'!N36</f>
        <v>0</v>
      </c>
      <c r="O25" s="660"/>
      <c r="P25" s="661">
        <f>'Акт расч'!P36</f>
        <v>0</v>
      </c>
      <c r="Q25" s="661"/>
    </row>
    <row r="26" spans="1:17" ht="21" x14ac:dyDescent="0.25">
      <c r="A26" s="28">
        <v>10</v>
      </c>
      <c r="B26" s="657">
        <f>'Акт расч'!B38</f>
        <v>0</v>
      </c>
      <c r="C26" s="658"/>
      <c r="D26" s="658"/>
      <c r="E26" s="658"/>
      <c r="F26" s="658"/>
      <c r="G26" s="659"/>
      <c r="H26" s="445">
        <f>'Акт расч'!J38</f>
        <v>0</v>
      </c>
      <c r="I26" s="445"/>
      <c r="J26" s="445">
        <f>'Акт расч'!L38</f>
        <v>0</v>
      </c>
      <c r="K26" s="445"/>
      <c r="L26" s="445">
        <f>'Акт расч'!M38</f>
        <v>0</v>
      </c>
      <c r="M26" s="445"/>
      <c r="N26" s="660">
        <f>'Акт расч'!N38</f>
        <v>0</v>
      </c>
      <c r="O26" s="660"/>
      <c r="P26" s="661">
        <f>'Акт расч'!P38</f>
        <v>0</v>
      </c>
      <c r="Q26" s="661"/>
    </row>
    <row r="27" spans="1:17" ht="21" x14ac:dyDescent="0.25">
      <c r="A27" s="28">
        <v>11</v>
      </c>
      <c r="B27" s="657"/>
      <c r="C27" s="658"/>
      <c r="D27" s="658"/>
      <c r="E27" s="658"/>
      <c r="F27" s="658"/>
      <c r="G27" s="659"/>
      <c r="H27" s="445"/>
      <c r="I27" s="445"/>
      <c r="J27" s="445"/>
      <c r="K27" s="445"/>
      <c r="L27" s="445"/>
      <c r="M27" s="445"/>
      <c r="N27" s="660"/>
      <c r="O27" s="660"/>
      <c r="P27" s="661"/>
      <c r="Q27" s="661"/>
    </row>
    <row r="28" spans="1:17" ht="21" x14ac:dyDescent="0.25">
      <c r="A28" s="28">
        <v>12</v>
      </c>
      <c r="B28" s="657"/>
      <c r="C28" s="658"/>
      <c r="D28" s="658"/>
      <c r="E28" s="658"/>
      <c r="F28" s="658"/>
      <c r="G28" s="659"/>
      <c r="H28" s="445"/>
      <c r="I28" s="445"/>
      <c r="J28" s="445"/>
      <c r="K28" s="445"/>
      <c r="L28" s="445"/>
      <c r="M28" s="445"/>
      <c r="N28" s="660"/>
      <c r="O28" s="660"/>
      <c r="P28" s="661"/>
      <c r="Q28" s="661"/>
    </row>
    <row r="29" spans="1:17" ht="21" x14ac:dyDescent="0.25">
      <c r="A29" s="28">
        <v>13</v>
      </c>
      <c r="B29" s="657"/>
      <c r="C29" s="658"/>
      <c r="D29" s="658"/>
      <c r="E29" s="658"/>
      <c r="F29" s="658"/>
      <c r="G29" s="659"/>
      <c r="H29" s="445"/>
      <c r="I29" s="445"/>
      <c r="J29" s="445"/>
      <c r="K29" s="445"/>
      <c r="L29" s="445"/>
      <c r="M29" s="445"/>
      <c r="N29" s="660"/>
      <c r="O29" s="660"/>
      <c r="P29" s="661"/>
      <c r="Q29" s="661"/>
    </row>
    <row r="30" spans="1:17" ht="21" x14ac:dyDescent="0.25">
      <c r="A30" s="28">
        <v>14</v>
      </c>
      <c r="B30" s="657"/>
      <c r="C30" s="658"/>
      <c r="D30" s="658"/>
      <c r="E30" s="658"/>
      <c r="F30" s="658"/>
      <c r="G30" s="659"/>
      <c r="H30" s="445"/>
      <c r="I30" s="445"/>
      <c r="J30" s="445"/>
      <c r="K30" s="445"/>
      <c r="L30" s="445"/>
      <c r="M30" s="445"/>
      <c r="N30" s="660"/>
      <c r="O30" s="660"/>
      <c r="P30" s="661"/>
      <c r="Q30" s="661"/>
    </row>
    <row r="31" spans="1:17" ht="21" x14ac:dyDescent="0.25">
      <c r="A31" s="28">
        <v>15</v>
      </c>
      <c r="B31" s="657"/>
      <c r="C31" s="658"/>
      <c r="D31" s="658"/>
      <c r="E31" s="658"/>
      <c r="F31" s="658"/>
      <c r="G31" s="659"/>
      <c r="H31" s="445"/>
      <c r="I31" s="445"/>
      <c r="J31" s="445"/>
      <c r="K31" s="445"/>
      <c r="L31" s="445"/>
      <c r="M31" s="445"/>
      <c r="N31" s="660"/>
      <c r="O31" s="660"/>
      <c r="P31" s="661"/>
      <c r="Q31" s="661"/>
    </row>
    <row r="32" spans="1:17" ht="23.25" x14ac:dyDescent="0.35">
      <c r="A32" s="28">
        <v>16</v>
      </c>
      <c r="B32" s="657"/>
      <c r="C32" s="658"/>
      <c r="D32" s="658"/>
      <c r="E32" s="658"/>
      <c r="F32" s="658"/>
      <c r="G32" s="659"/>
      <c r="H32" s="445"/>
      <c r="I32" s="445"/>
      <c r="J32" s="445"/>
      <c r="K32" s="445"/>
      <c r="L32" s="445"/>
      <c r="M32" s="445"/>
      <c r="N32" s="664" t="s">
        <v>62</v>
      </c>
      <c r="O32" s="665"/>
      <c r="P32" s="394">
        <f ca="1">SUM(P17:Q31)</f>
        <v>0</v>
      </c>
      <c r="Q32" s="394"/>
    </row>
    <row r="33" spans="1:17" ht="23.25" x14ac:dyDescent="0.35">
      <c r="A33" s="28">
        <v>17</v>
      </c>
      <c r="B33" s="657"/>
      <c r="C33" s="658"/>
      <c r="D33" s="658"/>
      <c r="E33" s="658"/>
      <c r="F33" s="658"/>
      <c r="G33" s="659"/>
      <c r="H33" s="445"/>
      <c r="I33" s="445"/>
      <c r="J33" s="445"/>
      <c r="K33" s="445"/>
      <c r="L33" s="445"/>
      <c r="M33" s="445"/>
      <c r="N33" s="664"/>
      <c r="O33" s="665"/>
      <c r="P33" s="661"/>
      <c r="Q33" s="661"/>
    </row>
    <row r="34" spans="1:17" ht="23.25" x14ac:dyDescent="0.35">
      <c r="A34" s="28">
        <v>18</v>
      </c>
      <c r="B34" s="657"/>
      <c r="C34" s="658"/>
      <c r="D34" s="658"/>
      <c r="E34" s="658"/>
      <c r="F34" s="658"/>
      <c r="G34" s="659"/>
      <c r="H34" s="445"/>
      <c r="I34" s="445"/>
      <c r="J34" s="445"/>
      <c r="K34" s="445"/>
      <c r="L34" s="445"/>
      <c r="M34" s="445"/>
      <c r="N34" s="672"/>
      <c r="O34" s="673"/>
      <c r="P34" s="396"/>
      <c r="Q34" s="396"/>
    </row>
    <row r="35" spans="1:17" ht="23.25" x14ac:dyDescent="0.35">
      <c r="A35" s="28">
        <v>19</v>
      </c>
      <c r="B35" s="657"/>
      <c r="C35" s="658"/>
      <c r="D35" s="658"/>
      <c r="E35" s="658"/>
      <c r="F35" s="658"/>
      <c r="G35" s="659"/>
      <c r="H35" s="445"/>
      <c r="I35" s="445"/>
      <c r="J35" s="445"/>
      <c r="K35" s="445"/>
      <c r="L35" s="445"/>
      <c r="M35" s="445"/>
      <c r="N35" s="667"/>
      <c r="O35" s="668"/>
      <c r="P35" s="394"/>
      <c r="Q35" s="394"/>
    </row>
    <row r="36" spans="1:17" ht="21" x14ac:dyDescent="0.25">
      <c r="A36" s="28">
        <v>20</v>
      </c>
      <c r="B36" s="657"/>
      <c r="C36" s="658"/>
      <c r="D36" s="658"/>
      <c r="E36" s="658"/>
      <c r="F36" s="658"/>
      <c r="G36" s="659"/>
      <c r="H36" s="445"/>
      <c r="I36" s="445"/>
      <c r="J36" s="445"/>
      <c r="K36" s="445"/>
      <c r="L36" s="445"/>
      <c r="M36" s="445"/>
      <c r="N36" s="666"/>
      <c r="O36" s="666"/>
      <c r="P36" s="396"/>
      <c r="Q36" s="396"/>
    </row>
    <row r="37" spans="1:17" ht="21" x14ac:dyDescent="0.25">
      <c r="A37" s="28">
        <v>21</v>
      </c>
      <c r="B37" s="654"/>
      <c r="C37" s="654"/>
      <c r="D37" s="654"/>
      <c r="E37" s="654"/>
      <c r="F37" s="654"/>
      <c r="G37" s="654"/>
      <c r="H37" s="655"/>
      <c r="I37" s="656"/>
      <c r="J37" s="666"/>
      <c r="K37" s="666"/>
      <c r="L37" s="666"/>
      <c r="M37" s="666"/>
      <c r="N37" s="396"/>
      <c r="O37" s="666"/>
      <c r="P37" s="396"/>
      <c r="Q37" s="396"/>
    </row>
    <row r="38" spans="1:17" ht="21" x14ac:dyDescent="0.25">
      <c r="A38" s="28">
        <v>22</v>
      </c>
      <c r="B38" s="657"/>
      <c r="C38" s="658"/>
      <c r="D38" s="658"/>
      <c r="E38" s="658"/>
      <c r="F38" s="658"/>
      <c r="G38" s="659"/>
      <c r="H38" s="445"/>
      <c r="I38" s="445"/>
      <c r="J38" s="445"/>
      <c r="K38" s="445"/>
      <c r="L38" s="445"/>
      <c r="M38" s="445"/>
      <c r="N38" s="445"/>
      <c r="O38" s="445"/>
      <c r="P38" s="661"/>
      <c r="Q38" s="661"/>
    </row>
    <row r="39" spans="1:17" ht="21" x14ac:dyDescent="0.25">
      <c r="A39" s="28">
        <v>23</v>
      </c>
      <c r="B39" s="391" t="s">
        <v>136</v>
      </c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3"/>
      <c r="P39" s="394">
        <f ca="1">P32</f>
        <v>0</v>
      </c>
      <c r="Q39" s="394"/>
    </row>
    <row r="40" spans="1:17" ht="2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1" x14ac:dyDescent="0.35">
      <c r="A41" s="275" t="s">
        <v>65</v>
      </c>
      <c r="B41" s="275"/>
      <c r="C41" s="360" t="e">
        <f ca="1">[1]!ЧислоПрописьюВалюта(P39,2)</f>
        <v>#NAME?</v>
      </c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</row>
    <row r="42" spans="1:17" ht="2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2"/>
      <c r="P42" s="2"/>
      <c r="Q42" s="3"/>
    </row>
    <row r="43" spans="1:17" ht="2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2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21" x14ac:dyDescent="0.35">
      <c r="A45" s="275" t="s">
        <v>6</v>
      </c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</row>
    <row r="46" spans="1:17" ht="21" x14ac:dyDescent="0.35">
      <c r="A46" s="275" t="s">
        <v>45</v>
      </c>
      <c r="B46" s="275"/>
      <c r="C46" s="275"/>
      <c r="D46" s="275"/>
      <c r="E46" s="275"/>
      <c r="F46" s="275"/>
      <c r="G46" s="275"/>
      <c r="H46" s="1"/>
      <c r="I46" s="1"/>
      <c r="J46" s="275" t="s">
        <v>44</v>
      </c>
      <c r="K46" s="275"/>
      <c r="L46" s="275"/>
      <c r="M46" s="275"/>
      <c r="N46" s="275"/>
      <c r="O46" s="275"/>
      <c r="P46" s="275"/>
    </row>
    <row r="47" spans="1:17" ht="21" x14ac:dyDescent="0.35">
      <c r="A47" s="3" t="s">
        <v>10</v>
      </c>
      <c r="B47" s="290" t="str">
        <f>'Пр №1'!B50:G50</f>
        <v xml:space="preserve"> Зинченко Михаил Александрович</v>
      </c>
      <c r="C47" s="290"/>
      <c r="D47" s="290"/>
      <c r="E47" s="290"/>
      <c r="F47" s="290"/>
      <c r="G47" s="290"/>
      <c r="H47" s="3"/>
      <c r="I47" s="3"/>
      <c r="J47" s="290" t="str">
        <f>'Акт расч'!J60:K60</f>
        <v>Ф.И.О.:</v>
      </c>
      <c r="K47" s="290"/>
      <c r="L47" s="290" t="str">
        <f>'Пр №1'!L50:Q50</f>
        <v>ХХХХ ХХХХ ХХХХ</v>
      </c>
      <c r="M47" s="290"/>
      <c r="N47" s="290"/>
      <c r="O47" s="290"/>
      <c r="P47" s="290"/>
      <c r="Q47" s="290"/>
    </row>
    <row r="48" spans="1:17" ht="21" x14ac:dyDescent="0.35">
      <c r="A48" s="3" t="s">
        <v>28</v>
      </c>
      <c r="B48" s="363">
        <f>'Пр №1'!B51:G51</f>
        <v>22212200650516</v>
      </c>
      <c r="C48" s="363"/>
      <c r="D48" s="363"/>
      <c r="E48" s="363"/>
      <c r="F48" s="363"/>
      <c r="G48" s="363"/>
      <c r="H48" s="3"/>
      <c r="I48" s="12"/>
      <c r="J48" s="363" t="str">
        <f>'Акт расч'!J61:K61</f>
        <v>ПИН:</v>
      </c>
      <c r="K48" s="363"/>
      <c r="L48" s="363" t="str">
        <f>'Пр №1'!L51:P51</f>
        <v>ХХХХ</v>
      </c>
      <c r="M48" s="363"/>
      <c r="N48" s="363"/>
      <c r="O48" s="363"/>
      <c r="P48" s="363"/>
      <c r="Q48" s="23"/>
    </row>
    <row r="49" spans="1:17" ht="21" x14ac:dyDescent="0.35">
      <c r="A49" s="290" t="s">
        <v>29</v>
      </c>
      <c r="B49" s="290"/>
      <c r="C49" s="13" t="str">
        <f>'Пр №1'!C52</f>
        <v>ID</v>
      </c>
      <c r="D49" s="13" t="s">
        <v>12</v>
      </c>
      <c r="E49" s="290">
        <f>'Пр №1'!E52:G52</f>
        <v>3219844</v>
      </c>
      <c r="F49" s="290"/>
      <c r="G49" s="290"/>
      <c r="H49" s="3"/>
      <c r="I49" s="3"/>
      <c r="J49" s="290" t="str">
        <f>'Акт расч'!J62:K62</f>
        <v>Паспорт:</v>
      </c>
      <c r="K49" s="290"/>
      <c r="L49" s="13" t="str">
        <f>'Пр №1'!L52</f>
        <v>ХХХ</v>
      </c>
      <c r="M49" s="13" t="s">
        <v>12</v>
      </c>
      <c r="N49" s="290" t="str">
        <f>'Пр №1'!N52:O52</f>
        <v>ХХХХХ</v>
      </c>
      <c r="O49" s="290"/>
      <c r="P49" s="3"/>
    </row>
    <row r="50" spans="1:17" ht="21" x14ac:dyDescent="0.35">
      <c r="A50" s="290" t="s">
        <v>30</v>
      </c>
      <c r="B50" s="290"/>
      <c r="C50" s="290" t="str">
        <f>'Пр №1'!C53:G53</f>
        <v>МКК 218011 от 12.02.2023</v>
      </c>
      <c r="D50" s="290"/>
      <c r="E50" s="290"/>
      <c r="F50" s="290"/>
      <c r="G50" s="290"/>
      <c r="H50" s="16"/>
      <c r="I50" s="3"/>
      <c r="J50" s="290" t="str">
        <f>'Акт расч'!J63:K63</f>
        <v>Выдан:</v>
      </c>
      <c r="K50" s="290"/>
      <c r="L50" s="3" t="str">
        <f>'Пр №1'!L53</f>
        <v>МКК</v>
      </c>
      <c r="M50" s="276" t="str">
        <f>'Пр №1'!M53</f>
        <v>ХХХХ</v>
      </c>
      <c r="N50" s="276"/>
      <c r="O50" s="13" t="str">
        <f>'Пр №1'!N53</f>
        <v>от</v>
      </c>
      <c r="P50" s="669" t="str">
        <f>'Пр №1'!O53</f>
        <v>ХХХХ</v>
      </c>
      <c r="Q50" s="290"/>
    </row>
    <row r="51" spans="1:17" ht="21" x14ac:dyDescent="0.35">
      <c r="A51" s="290" t="s">
        <v>31</v>
      </c>
      <c r="B51" s="290"/>
      <c r="C51" s="290" t="str">
        <f>'Пр №1'!C54:G54</f>
        <v>г. Бишкек</v>
      </c>
      <c r="D51" s="290"/>
      <c r="E51" s="290"/>
      <c r="F51" s="290"/>
      <c r="G51" s="290"/>
      <c r="H51" s="11"/>
      <c r="I51" s="3"/>
      <c r="J51" s="290" t="str">
        <f>'Акт расч'!J64:K64</f>
        <v>Адрес:</v>
      </c>
      <c r="K51" s="290"/>
      <c r="L51" s="290" t="str">
        <f>'Пр №1'!L54:Q54</f>
        <v>Чуйская область г. Бишкек</v>
      </c>
      <c r="M51" s="290"/>
      <c r="N51" s="290"/>
      <c r="O51" s="290"/>
      <c r="P51" s="290"/>
      <c r="Q51" s="290"/>
    </row>
    <row r="52" spans="1:17" ht="21" x14ac:dyDescent="0.35">
      <c r="A52" s="290" t="str">
        <f>'Пр №1'!A55:G55</f>
        <v>ул. Ялтинская д. №  56</v>
      </c>
      <c r="B52" s="290"/>
      <c r="C52" s="290"/>
      <c r="D52" s="290"/>
      <c r="E52" s="290"/>
      <c r="F52" s="290"/>
      <c r="G52" s="290"/>
      <c r="H52" s="3"/>
      <c r="I52" s="3"/>
      <c r="J52" s="290" t="str">
        <f>'Пр №1'!J55:P55</f>
        <v>ул. ХХХХХ</v>
      </c>
      <c r="K52" s="290"/>
      <c r="L52" s="290"/>
      <c r="M52" s="290"/>
      <c r="N52" s="290"/>
      <c r="O52" s="290"/>
      <c r="P52" s="290"/>
      <c r="Q52" s="290"/>
    </row>
    <row r="53" spans="1:17" ht="21" x14ac:dyDescent="0.35">
      <c r="A53" s="290" t="s">
        <v>32</v>
      </c>
      <c r="B53" s="290"/>
      <c r="C53" s="290"/>
      <c r="D53" s="290">
        <f>'Пр №1'!D56:G56</f>
        <v>720051</v>
      </c>
      <c r="E53" s="290"/>
      <c r="F53" s="290"/>
      <c r="G53" s="290"/>
      <c r="H53" s="11"/>
      <c r="I53" s="3"/>
      <c r="J53" s="290" t="str">
        <f>'Акт расч'!J66:L66</f>
        <v>Почтовый индекс:</v>
      </c>
      <c r="K53" s="290"/>
      <c r="L53" s="290"/>
      <c r="M53" s="290">
        <f>'Пр №1'!M56:N56</f>
        <v>0</v>
      </c>
      <c r="N53" s="290"/>
      <c r="O53" s="3"/>
      <c r="P53" s="3"/>
    </row>
    <row r="54" spans="1:17" ht="21" x14ac:dyDescent="0.35">
      <c r="A54" s="290" t="s">
        <v>7</v>
      </c>
      <c r="B54" s="290"/>
      <c r="C54" s="290"/>
      <c r="D54" s="290"/>
      <c r="E54" s="290"/>
      <c r="F54" s="290"/>
      <c r="G54" s="290"/>
      <c r="H54" s="3"/>
      <c r="I54" s="3"/>
      <c r="J54" s="290" t="str">
        <f>'Акт расч'!J67:P67</f>
        <v>Банковские реквизиты:</v>
      </c>
      <c r="K54" s="290"/>
      <c r="L54" s="290"/>
      <c r="M54" s="290"/>
      <c r="N54" s="290"/>
      <c r="O54" s="290"/>
      <c r="P54" s="290"/>
    </row>
    <row r="55" spans="1:17" ht="21" x14ac:dyDescent="0.35">
      <c r="A55" s="290" t="str">
        <f>'Пр №1'!A58:G58</f>
        <v>ОАО "МБАНК" ФИЛИАЛ "МБАНК ПЛАЗА"</v>
      </c>
      <c r="B55" s="290"/>
      <c r="C55" s="290"/>
      <c r="D55" s="290"/>
      <c r="E55" s="290"/>
      <c r="F55" s="290"/>
      <c r="G55" s="290"/>
      <c r="H55" s="3"/>
      <c r="I55" s="3"/>
      <c r="J55" s="290">
        <f>'Пр №1'!J58:P58</f>
        <v>0</v>
      </c>
      <c r="K55" s="290"/>
      <c r="L55" s="290"/>
      <c r="M55" s="290"/>
      <c r="N55" s="290"/>
      <c r="O55" s="290"/>
      <c r="P55" s="290"/>
    </row>
    <row r="56" spans="1:17" ht="21" x14ac:dyDescent="0.35">
      <c r="A56" s="3" t="s">
        <v>49</v>
      </c>
      <c r="B56" s="363" t="str">
        <f>'Пр №1'!B59:G59</f>
        <v>"1033220001521202"</v>
      </c>
      <c r="C56" s="363"/>
      <c r="D56" s="363"/>
      <c r="E56" s="363"/>
      <c r="F56" s="363"/>
      <c r="G56" s="363"/>
      <c r="H56" s="3"/>
      <c r="I56" s="3"/>
      <c r="J56" s="3" t="str">
        <f>'Акт расч'!J69</f>
        <v>р/c:</v>
      </c>
      <c r="K56" s="363">
        <f>'Пр №1'!K59:P59</f>
        <v>0</v>
      </c>
      <c r="L56" s="363"/>
      <c r="M56" s="363"/>
      <c r="N56" s="363"/>
      <c r="O56" s="363"/>
      <c r="P56" s="363"/>
    </row>
    <row r="57" spans="1:17" ht="21" x14ac:dyDescent="0.35">
      <c r="A57" s="3" t="s">
        <v>9</v>
      </c>
      <c r="B57" s="290">
        <f>'Пр №1'!B60:G60</f>
        <v>103032</v>
      </c>
      <c r="C57" s="290"/>
      <c r="D57" s="290"/>
      <c r="E57" s="290"/>
      <c r="F57" s="290"/>
      <c r="G57" s="290"/>
      <c r="H57" s="3"/>
      <c r="I57" s="3"/>
      <c r="J57" s="3" t="str">
        <f>'Акт расч'!J70</f>
        <v>БИК:</v>
      </c>
      <c r="K57" s="290">
        <f>'Пр №1'!K60:P60</f>
        <v>0</v>
      </c>
      <c r="L57" s="290"/>
      <c r="M57" s="290"/>
      <c r="N57" s="290"/>
      <c r="O57" s="290"/>
      <c r="P57" s="290"/>
    </row>
    <row r="58" spans="1:17" ht="21" x14ac:dyDescent="0.35">
      <c r="A58" s="290" t="str">
        <f>'Пр №1'!A61:G61</f>
        <v>УГНС 003 Свердловского района</v>
      </c>
      <c r="B58" s="290"/>
      <c r="C58" s="290"/>
      <c r="D58" s="290"/>
      <c r="E58" s="290"/>
      <c r="F58" s="290"/>
      <c r="G58" s="290"/>
      <c r="H58" s="3"/>
      <c r="I58" s="3"/>
      <c r="J58" s="290" t="str">
        <f>'Акт расч'!J71:P71</f>
        <v>УГНС 000</v>
      </c>
      <c r="K58" s="290"/>
      <c r="L58" s="290"/>
      <c r="M58" s="290"/>
      <c r="N58" s="290"/>
      <c r="O58" s="290"/>
      <c r="P58" s="290"/>
    </row>
    <row r="59" spans="1:17" ht="21" x14ac:dyDescent="0.35">
      <c r="A59" s="3" t="str">
        <f>'Пр №1'!A62</f>
        <v>ОКПО:</v>
      </c>
      <c r="B59" s="276">
        <f>'Пр №1'!B62</f>
        <v>33158934</v>
      </c>
      <c r="C59" s="27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7" ht="21" x14ac:dyDescent="0.35">
      <c r="A60" s="276" t="str">
        <f>'Акт расч'!A73:C73</f>
        <v>З. М.</v>
      </c>
      <c r="B60" s="276"/>
      <c r="C60" s="276"/>
      <c r="D60" s="276" t="str">
        <f>'Акт расч'!D73:F73</f>
        <v>________________________</v>
      </c>
      <c r="E60" s="276"/>
      <c r="F60" s="276"/>
      <c r="G60" s="3"/>
      <c r="H60" s="3"/>
      <c r="I60" s="3"/>
      <c r="J60" s="276" t="str">
        <f>'Пр №1'!J63:L63</f>
        <v>ХХХХ Х. Х.</v>
      </c>
      <c r="K60" s="276"/>
      <c r="L60" s="276"/>
      <c r="M60" s="290" t="s">
        <v>33</v>
      </c>
      <c r="N60" s="290"/>
      <c r="O60" s="290"/>
      <c r="P60" s="290"/>
    </row>
    <row r="61" spans="1:17" ht="21" x14ac:dyDescent="0.35">
      <c r="A61" s="3"/>
      <c r="B61" s="3"/>
      <c r="C61" s="3"/>
      <c r="D61" s="283" t="str">
        <f>'Акт расч'!D74:F74</f>
        <v>(подпись)</v>
      </c>
      <c r="E61" s="283"/>
      <c r="F61" s="283"/>
      <c r="G61" s="3"/>
      <c r="H61" s="3"/>
      <c r="I61" s="3"/>
      <c r="J61" s="3"/>
      <c r="K61" s="3"/>
      <c r="L61" s="3"/>
      <c r="M61" s="283">
        <f>'Акт расч'!M74:P74</f>
        <v>0</v>
      </c>
      <c r="N61" s="283"/>
      <c r="O61" s="283"/>
      <c r="P61" s="283"/>
    </row>
    <row r="62" spans="1:17" ht="21" x14ac:dyDescent="0.35">
      <c r="A62" s="9" t="str">
        <f>'Пр №1'!A65</f>
        <v xml:space="preserve"> «</v>
      </c>
      <c r="B62" s="15">
        <f ca="1">'Пр №1'!B65</f>
        <v>9</v>
      </c>
      <c r="C62" s="10" t="str">
        <f>'Пр №1'!C65</f>
        <v>»</v>
      </c>
      <c r="D62" s="366" t="str">
        <f ca="1">'Пр №1'!D65:E65</f>
        <v>Январь</v>
      </c>
      <c r="E62" s="366"/>
      <c r="F62" s="10">
        <f ca="1">'Пр №1'!F65</f>
        <v>2026</v>
      </c>
      <c r="G62" s="10" t="str">
        <f>'Пр №1'!G65</f>
        <v>г.</v>
      </c>
      <c r="H62" s="9"/>
      <c r="I62" s="15"/>
      <c r="J62" s="5" t="str">
        <f>A62</f>
        <v xml:space="preserve"> «</v>
      </c>
      <c r="K62" s="5">
        <f ca="1">B62</f>
        <v>9</v>
      </c>
      <c r="L62" s="1" t="str">
        <f>C62</f>
        <v>»</v>
      </c>
      <c r="M62" s="275" t="str">
        <f ca="1">D62</f>
        <v>Январь</v>
      </c>
      <c r="N62" s="275"/>
      <c r="O62" s="1">
        <f ca="1">F62</f>
        <v>2026</v>
      </c>
      <c r="P62" s="1" t="str">
        <f>G62</f>
        <v>г.</v>
      </c>
    </row>
    <row r="63" spans="1:17" ht="21" x14ac:dyDescent="0.35">
      <c r="A63" s="276" t="s">
        <v>26</v>
      </c>
      <c r="B63" s="276"/>
      <c r="C63" s="276" t="str">
        <f>'Пр №1'!C66:G66</f>
        <v>+996 (552) 727 607</v>
      </c>
      <c r="D63" s="276"/>
      <c r="E63" s="276"/>
      <c r="F63" s="276"/>
      <c r="G63" s="276"/>
      <c r="H63" s="3"/>
      <c r="I63" s="3"/>
      <c r="J63" s="276" t="s">
        <v>26</v>
      </c>
      <c r="K63" s="276"/>
      <c r="L63" s="362" t="str">
        <f>'Пр №1'!L66:P66</f>
        <v>ХХХХ ХХХ ХХХХХ</v>
      </c>
      <c r="M63" s="362"/>
      <c r="N63" s="362"/>
      <c r="O63" s="362"/>
      <c r="P63" s="362"/>
    </row>
  </sheetData>
  <mergeCells count="211">
    <mergeCell ref="C41:Q41"/>
    <mergeCell ref="A41:B41"/>
    <mergeCell ref="B12:C12"/>
    <mergeCell ref="D12:G12"/>
    <mergeCell ref="B11:F11"/>
    <mergeCell ref="G11:K11"/>
    <mergeCell ref="P38:Q38"/>
    <mergeCell ref="B39:O39"/>
    <mergeCell ref="P39:Q39"/>
    <mergeCell ref="J37:K37"/>
    <mergeCell ref="L37:M37"/>
    <mergeCell ref="N37:O37"/>
    <mergeCell ref="P37:Q37"/>
    <mergeCell ref="B38:G38"/>
    <mergeCell ref="H38:I38"/>
    <mergeCell ref="J38:K38"/>
    <mergeCell ref="L38:M38"/>
    <mergeCell ref="N38:O38"/>
    <mergeCell ref="H36:I36"/>
    <mergeCell ref="J36:K36"/>
    <mergeCell ref="N34:O34"/>
    <mergeCell ref="P34:Q34"/>
    <mergeCell ref="B33:G33"/>
    <mergeCell ref="H33:I33"/>
    <mergeCell ref="A55:G55"/>
    <mergeCell ref="J55:P55"/>
    <mergeCell ref="B56:G56"/>
    <mergeCell ref="K56:P56"/>
    <mergeCell ref="B57:G57"/>
    <mergeCell ref="K57:P57"/>
    <mergeCell ref="A53:C53"/>
    <mergeCell ref="D53:G53"/>
    <mergeCell ref="J53:L53"/>
    <mergeCell ref="M53:N53"/>
    <mergeCell ref="A54:G54"/>
    <mergeCell ref="J54:P54"/>
    <mergeCell ref="A63:B63"/>
    <mergeCell ref="C63:G63"/>
    <mergeCell ref="J63:K63"/>
    <mergeCell ref="L63:P63"/>
    <mergeCell ref="A58:G58"/>
    <mergeCell ref="J58:P58"/>
    <mergeCell ref="J60:L60"/>
    <mergeCell ref="M60:P60"/>
    <mergeCell ref="D62:E62"/>
    <mergeCell ref="M62:N62"/>
    <mergeCell ref="A60:C60"/>
    <mergeCell ref="D60:F60"/>
    <mergeCell ref="M61:P61"/>
    <mergeCell ref="D61:F61"/>
    <mergeCell ref="B59:C59"/>
    <mergeCell ref="A51:B51"/>
    <mergeCell ref="C51:G51"/>
    <mergeCell ref="J51:K51"/>
    <mergeCell ref="L51:Q51"/>
    <mergeCell ref="A52:G52"/>
    <mergeCell ref="J52:Q52"/>
    <mergeCell ref="A49:B49"/>
    <mergeCell ref="E49:G49"/>
    <mergeCell ref="J49:K49"/>
    <mergeCell ref="N49:O49"/>
    <mergeCell ref="A50:B50"/>
    <mergeCell ref="C50:G50"/>
    <mergeCell ref="J50:K50"/>
    <mergeCell ref="M50:N50"/>
    <mergeCell ref="P50:Q50"/>
    <mergeCell ref="B47:G47"/>
    <mergeCell ref="J47:K47"/>
    <mergeCell ref="L47:Q47"/>
    <mergeCell ref="B48:G48"/>
    <mergeCell ref="J48:K48"/>
    <mergeCell ref="L48:P48"/>
    <mergeCell ref="A45:Q45"/>
    <mergeCell ref="A46:G46"/>
    <mergeCell ref="J46:P46"/>
    <mergeCell ref="J33:K33"/>
    <mergeCell ref="L33:M33"/>
    <mergeCell ref="N33:O33"/>
    <mergeCell ref="P33:Q33"/>
    <mergeCell ref="L36:M36"/>
    <mergeCell ref="N36:O36"/>
    <mergeCell ref="P36:Q36"/>
    <mergeCell ref="B35:G35"/>
    <mergeCell ref="H35:I35"/>
    <mergeCell ref="J35:K35"/>
    <mergeCell ref="L35:M35"/>
    <mergeCell ref="N35:O35"/>
    <mergeCell ref="P35:Q35"/>
    <mergeCell ref="B36:G36"/>
    <mergeCell ref="P30:Q30"/>
    <mergeCell ref="B29:G29"/>
    <mergeCell ref="H29:I29"/>
    <mergeCell ref="J29:K29"/>
    <mergeCell ref="L29:M29"/>
    <mergeCell ref="N29:O29"/>
    <mergeCell ref="P29:Q29"/>
    <mergeCell ref="B32:G32"/>
    <mergeCell ref="H32:I32"/>
    <mergeCell ref="J32:K32"/>
    <mergeCell ref="L32:M32"/>
    <mergeCell ref="N32:O32"/>
    <mergeCell ref="P32:Q32"/>
    <mergeCell ref="B31:G31"/>
    <mergeCell ref="H31:I31"/>
    <mergeCell ref="J31:K31"/>
    <mergeCell ref="L31:M31"/>
    <mergeCell ref="N31:O31"/>
    <mergeCell ref="P31:Q31"/>
    <mergeCell ref="P28:Q28"/>
    <mergeCell ref="B27:G27"/>
    <mergeCell ref="H27:I27"/>
    <mergeCell ref="J27:K27"/>
    <mergeCell ref="L27:M27"/>
    <mergeCell ref="N27:O27"/>
    <mergeCell ref="P27:Q27"/>
    <mergeCell ref="B21:G21"/>
    <mergeCell ref="H21:I21"/>
    <mergeCell ref="J21:K21"/>
    <mergeCell ref="L21:M21"/>
    <mergeCell ref="P23:Q23"/>
    <mergeCell ref="N21:O21"/>
    <mergeCell ref="P21:Q21"/>
    <mergeCell ref="N22:O22"/>
    <mergeCell ref="P22:Q22"/>
    <mergeCell ref="B23:G23"/>
    <mergeCell ref="H23:I23"/>
    <mergeCell ref="J23:K23"/>
    <mergeCell ref="L23:M23"/>
    <mergeCell ref="A4:Q4"/>
    <mergeCell ref="B6:E6"/>
    <mergeCell ref="L6:M6"/>
    <mergeCell ref="P16:Q16"/>
    <mergeCell ref="B17:G17"/>
    <mergeCell ref="H17:I17"/>
    <mergeCell ref="J17:K17"/>
    <mergeCell ref="L17:M17"/>
    <mergeCell ref="N17:O17"/>
    <mergeCell ref="P17:Q17"/>
    <mergeCell ref="A13:I13"/>
    <mergeCell ref="B16:G16"/>
    <mergeCell ref="H16:I16"/>
    <mergeCell ref="J16:K16"/>
    <mergeCell ref="L16:M16"/>
    <mergeCell ref="N16:O16"/>
    <mergeCell ref="A15:B15"/>
    <mergeCell ref="C15:K15"/>
    <mergeCell ref="A7:F7"/>
    <mergeCell ref="G7:Q7"/>
    <mergeCell ref="A8:Q8"/>
    <mergeCell ref="A9:Q9"/>
    <mergeCell ref="E10:G10"/>
    <mergeCell ref="H10:O10"/>
    <mergeCell ref="H19:I19"/>
    <mergeCell ref="J19:K19"/>
    <mergeCell ref="L19:M19"/>
    <mergeCell ref="N19:O19"/>
    <mergeCell ref="P19:Q19"/>
    <mergeCell ref="B18:G18"/>
    <mergeCell ref="H18:I18"/>
    <mergeCell ref="J18:K18"/>
    <mergeCell ref="L18:M18"/>
    <mergeCell ref="N18:O18"/>
    <mergeCell ref="P18:Q18"/>
    <mergeCell ref="H20:I20"/>
    <mergeCell ref="J20:K20"/>
    <mergeCell ref="L20:M20"/>
    <mergeCell ref="N20:O20"/>
    <mergeCell ref="P20:Q20"/>
    <mergeCell ref="P26:Q26"/>
    <mergeCell ref="A14:Q14"/>
    <mergeCell ref="B24:G24"/>
    <mergeCell ref="H24:I24"/>
    <mergeCell ref="J24:K24"/>
    <mergeCell ref="L24:M24"/>
    <mergeCell ref="N24:O24"/>
    <mergeCell ref="P24:Q24"/>
    <mergeCell ref="B25:G25"/>
    <mergeCell ref="H25:I25"/>
    <mergeCell ref="J25:K25"/>
    <mergeCell ref="L25:M25"/>
    <mergeCell ref="N25:O25"/>
    <mergeCell ref="P25:Q25"/>
    <mergeCell ref="B22:G22"/>
    <mergeCell ref="H22:I22"/>
    <mergeCell ref="J22:K22"/>
    <mergeCell ref="L22:M22"/>
    <mergeCell ref="B19:G19"/>
    <mergeCell ref="B10:D10"/>
    <mergeCell ref="B37:G37"/>
    <mergeCell ref="H37:I37"/>
    <mergeCell ref="B26:G26"/>
    <mergeCell ref="H26:I26"/>
    <mergeCell ref="J26:K26"/>
    <mergeCell ref="L26:M26"/>
    <mergeCell ref="N26:O26"/>
    <mergeCell ref="N23:O23"/>
    <mergeCell ref="B28:G28"/>
    <mergeCell ref="H28:I28"/>
    <mergeCell ref="J28:K28"/>
    <mergeCell ref="L28:M28"/>
    <mergeCell ref="N28:O28"/>
    <mergeCell ref="B30:G30"/>
    <mergeCell ref="H30:I30"/>
    <mergeCell ref="J30:K30"/>
    <mergeCell ref="L30:M30"/>
    <mergeCell ref="N30:O30"/>
    <mergeCell ref="B34:G34"/>
    <mergeCell ref="H34:I34"/>
    <mergeCell ref="J34:K34"/>
    <mergeCell ref="L34:M34"/>
    <mergeCell ref="B20:G20"/>
  </mergeCells>
  <pageMargins left="0.25" right="0.25" top="0.31" bottom="0.35" header="0.3" footer="0.3"/>
  <pageSetup paperSize="9" scale="56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Q63"/>
  <sheetViews>
    <sheetView showZeros="0" zoomScale="80" zoomScaleNormal="80" workbookViewId="0">
      <selection activeCell="B18" sqref="B18:G18"/>
    </sheetView>
  </sheetViews>
  <sheetFormatPr defaultRowHeight="15" x14ac:dyDescent="0.25"/>
  <cols>
    <col min="3" max="3" width="12.85546875" bestFit="1" customWidth="1"/>
    <col min="6" max="6" width="14.140625" customWidth="1"/>
    <col min="10" max="10" width="11.140625" customWidth="1"/>
    <col min="15" max="15" width="11.42578125" customWidth="1"/>
    <col min="17" max="17" width="16" customWidth="1"/>
  </cols>
  <sheetData>
    <row r="3" spans="1:17" ht="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7" thickBot="1" x14ac:dyDescent="0.45">
      <c r="A4" s="348" t="s">
        <v>280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</row>
    <row r="5" spans="1:17" ht="21.75" thickBot="1" x14ac:dyDescent="0.4">
      <c r="A5" s="1"/>
      <c r="B5" s="1"/>
      <c r="C5" s="1"/>
      <c r="D5" s="1"/>
      <c r="E5" s="1"/>
      <c r="F5" s="1"/>
      <c r="G5" s="1"/>
      <c r="H5" s="1"/>
      <c r="I5" s="1"/>
      <c r="J5" s="5" t="s">
        <v>12</v>
      </c>
      <c r="K5" s="216">
        <f ca="1">'Пр №1'!J3</f>
        <v>9</v>
      </c>
      <c r="L5" s="217">
        <f ca="1">'Пр №1'!K3</f>
        <v>1</v>
      </c>
      <c r="M5" s="217">
        <f ca="1">'Пр №1'!L3</f>
        <v>2026</v>
      </c>
      <c r="N5" s="223">
        <f ca="1">'Пр №1'!M3</f>
        <v>46031.871582060186</v>
      </c>
      <c r="O5" s="224">
        <v>1</v>
      </c>
    </row>
    <row r="6" spans="1:17" ht="21" x14ac:dyDescent="0.35">
      <c r="A6" s="1"/>
      <c r="B6" s="275" t="str">
        <f>Дог.!B13</f>
        <v xml:space="preserve">г. Бишкек </v>
      </c>
      <c r="C6" s="275"/>
      <c r="D6" s="275"/>
      <c r="E6" s="275"/>
      <c r="F6" s="1"/>
      <c r="G6" s="1"/>
      <c r="H6" s="1"/>
      <c r="I6" s="7" t="str">
        <f>'Пр №1'!I5</f>
        <v xml:space="preserve"> «</v>
      </c>
      <c r="J6" s="5">
        <f ca="1">'Пр №1'!J5</f>
        <v>9</v>
      </c>
      <c r="K6" s="1" t="str">
        <f>'Пр №1'!K5</f>
        <v>»</v>
      </c>
      <c r="L6" s="275" t="str">
        <f ca="1">'Пр №1'!L5</f>
        <v>Январь</v>
      </c>
      <c r="M6" s="275"/>
      <c r="N6" s="1">
        <f ca="1">'Пр №1'!N5</f>
        <v>2026</v>
      </c>
      <c r="O6" s="1" t="str">
        <f>'Пр №1'!O5</f>
        <v>г.</v>
      </c>
    </row>
    <row r="7" spans="1:17" ht="21" x14ac:dyDescent="0.35">
      <c r="A7" s="302" t="str">
        <f>'Акт расч'!A7:E7</f>
        <v xml:space="preserve"> Зинченко Михаил Александрович</v>
      </c>
      <c r="B7" s="302"/>
      <c r="C7" s="302"/>
      <c r="D7" s="302"/>
      <c r="E7" s="302"/>
      <c r="F7" s="302"/>
      <c r="G7" s="353" t="str">
        <f>'Акт расч'!G7:Q7</f>
        <v>22.12.2006 года рождения, паспорт: ID3219844 выдан MKK 218011 от 12.02.2023 г.</v>
      </c>
      <c r="H7" s="353"/>
      <c r="I7" s="353"/>
      <c r="J7" s="353"/>
      <c r="K7" s="353"/>
      <c r="L7" s="353"/>
      <c r="M7" s="353"/>
      <c r="N7" s="353"/>
      <c r="O7" s="353"/>
      <c r="P7" s="353"/>
      <c r="Q7" s="353"/>
    </row>
    <row r="8" spans="1:17" ht="21" x14ac:dyDescent="0.35">
      <c r="A8" s="350" t="str">
        <f>'Пр №1'!A7:Q7</f>
        <v>зарегистрированный по адресу город Бишкек, улица Ялтинская 56/1, действующий на основании Свидетельства о государственной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</row>
    <row r="9" spans="1:17" ht="21" x14ac:dyDescent="0.35">
      <c r="A9" s="350" t="str">
        <f>'Пр №1'!A8:Q8</f>
        <v>регистрации индивидуального предпринимателя по Свердловскому району г. Бишкек № 003-2024-169-5930 от 08.08.2024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</row>
    <row r="10" spans="1:17" ht="21" x14ac:dyDescent="0.25">
      <c r="A10" s="27" t="s">
        <v>28</v>
      </c>
      <c r="B10" s="653">
        <f>'Пр №1'!C9</f>
        <v>22212200650516</v>
      </c>
      <c r="C10" s="318"/>
      <c r="D10" s="318"/>
      <c r="E10" s="318"/>
      <c r="F10" s="663" t="str">
        <f>A54</f>
        <v>Банковские реквизиты:</v>
      </c>
      <c r="G10" s="663"/>
      <c r="H10" s="663"/>
      <c r="I10" s="663" t="str">
        <f>A55</f>
        <v>ОАО "МБАНК" ФИЛИАЛ "МБАНК ПЛАЗА"</v>
      </c>
      <c r="J10" s="663"/>
      <c r="K10" s="663"/>
      <c r="L10" s="663"/>
      <c r="M10" s="663"/>
      <c r="N10" s="663"/>
      <c r="O10" s="663"/>
      <c r="P10" s="663"/>
      <c r="Q10" s="663"/>
    </row>
    <row r="11" spans="1:17" ht="21" x14ac:dyDescent="0.35">
      <c r="A11" s="17" t="str">
        <f>A56</f>
        <v>р/c:</v>
      </c>
      <c r="B11" s="671" t="str">
        <f>B56</f>
        <v>"1033220001521202"</v>
      </c>
      <c r="C11" s="351"/>
      <c r="D11" s="351"/>
      <c r="E11" s="351"/>
      <c r="F11" s="351"/>
      <c r="G11" s="352" t="str">
        <f>A58</f>
        <v>УГНС 003 Свердловского района</v>
      </c>
      <c r="H11" s="352"/>
      <c r="I11" s="352"/>
      <c r="J11" s="352"/>
      <c r="K11" s="352"/>
      <c r="L11" s="675" t="str">
        <f>'Пр №1'!A60</f>
        <v>БИК:</v>
      </c>
      <c r="M11" s="675"/>
      <c r="N11" s="676">
        <f>'Пр №1'!B60</f>
        <v>103032</v>
      </c>
      <c r="O11" s="676"/>
      <c r="P11" s="676"/>
      <c r="Q11" s="27"/>
    </row>
    <row r="12" spans="1:17" ht="21.75" thickBot="1" x14ac:dyDescent="0.4">
      <c r="A12" s="1"/>
      <c r="B12" s="670"/>
      <c r="C12" s="670"/>
      <c r="D12" s="275"/>
      <c r="E12" s="275"/>
      <c r="F12" s="275"/>
      <c r="G12" s="275"/>
      <c r="H12" s="2"/>
      <c r="I12" s="5"/>
      <c r="J12" s="2"/>
      <c r="K12" s="2"/>
      <c r="L12" s="2"/>
      <c r="M12" s="2"/>
      <c r="N12" s="1"/>
      <c r="O12" s="1"/>
      <c r="P12" s="1"/>
      <c r="Q12" s="18"/>
    </row>
    <row r="13" spans="1:17" ht="21.75" thickBot="1" x14ac:dyDescent="0.4">
      <c r="A13" s="293" t="s">
        <v>51</v>
      </c>
      <c r="B13" s="293"/>
      <c r="C13" s="293"/>
      <c r="D13" s="293"/>
      <c r="E13" s="293"/>
      <c r="F13" s="293"/>
      <c r="G13" s="293"/>
      <c r="H13" s="293"/>
      <c r="I13" s="293"/>
      <c r="J13" s="5" t="s">
        <v>12</v>
      </c>
      <c r="K13" s="216">
        <f ca="1">K5</f>
        <v>9</v>
      </c>
      <c r="L13" s="217">
        <f ca="1">L5</f>
        <v>1</v>
      </c>
      <c r="M13" s="217">
        <f ca="1">M5</f>
        <v>2026</v>
      </c>
      <c r="N13" s="223">
        <f ca="1">N5</f>
        <v>46031.871582060186</v>
      </c>
      <c r="O13" s="224">
        <v>1</v>
      </c>
    </row>
    <row r="14" spans="1:17" ht="21" x14ac:dyDescent="0.35">
      <c r="A14" s="290" t="s">
        <v>329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</row>
    <row r="15" spans="1:17" ht="21" x14ac:dyDescent="0.35">
      <c r="A15" s="416" t="s">
        <v>67</v>
      </c>
      <c r="B15" s="416"/>
      <c r="C15" s="662" t="str">
        <f>'Акт расч'!A11</f>
        <v>ХХХХ ХХХХ ХХХХ</v>
      </c>
      <c r="D15" s="662"/>
      <c r="E15" s="662"/>
      <c r="F15" s="662"/>
      <c r="G15" s="662"/>
      <c r="H15" s="662"/>
      <c r="I15" s="662"/>
      <c r="J15" s="662"/>
      <c r="K15" s="662"/>
      <c r="L15" s="30"/>
      <c r="M15" s="30"/>
      <c r="N15" s="30"/>
      <c r="O15" s="30"/>
      <c r="P15" s="30"/>
      <c r="Q15" s="30"/>
    </row>
    <row r="16" spans="1:17" ht="21" x14ac:dyDescent="0.25">
      <c r="A16" s="25" t="s">
        <v>12</v>
      </c>
      <c r="B16" s="388" t="s">
        <v>59</v>
      </c>
      <c r="C16" s="389"/>
      <c r="D16" s="389"/>
      <c r="E16" s="389"/>
      <c r="F16" s="389"/>
      <c r="G16" s="390"/>
      <c r="H16" s="376" t="s">
        <v>77</v>
      </c>
      <c r="I16" s="376"/>
      <c r="J16" s="387" t="s">
        <v>69</v>
      </c>
      <c r="K16" s="387"/>
      <c r="L16" s="387" t="s">
        <v>60</v>
      </c>
      <c r="M16" s="387"/>
      <c r="N16" s="387" t="s">
        <v>61</v>
      </c>
      <c r="O16" s="387"/>
      <c r="P16" s="387" t="s">
        <v>68</v>
      </c>
      <c r="Q16" s="387"/>
    </row>
    <row r="17" spans="1:17" ht="21" x14ac:dyDescent="0.25">
      <c r="A17" s="28">
        <v>1</v>
      </c>
      <c r="B17" s="657" t="str">
        <f>'Счет '!B17</f>
        <v>XXXXXXX</v>
      </c>
      <c r="C17" s="658"/>
      <c r="D17" s="658"/>
      <c r="E17" s="658"/>
      <c r="F17" s="658"/>
      <c r="G17" s="659"/>
      <c r="H17" s="445">
        <f>'Счет '!H17:I17</f>
        <v>1</v>
      </c>
      <c r="I17" s="445"/>
      <c r="J17" s="445">
        <f ca="1">'Счет '!J17:K17</f>
        <v>0</v>
      </c>
      <c r="K17" s="445"/>
      <c r="L17" s="445" t="str">
        <f>'Счет '!L17:M17</f>
        <v>Сут</v>
      </c>
      <c r="M17" s="445"/>
      <c r="N17" s="660">
        <f>'Счет '!N17:O17</f>
        <v>1500</v>
      </c>
      <c r="O17" s="660"/>
      <c r="P17" s="661">
        <f ca="1">'Счет '!P17:Q17</f>
        <v>0</v>
      </c>
      <c r="Q17" s="661"/>
    </row>
    <row r="18" spans="1:17" ht="21" x14ac:dyDescent="0.25">
      <c r="A18" s="28">
        <v>2</v>
      </c>
      <c r="B18" s="657">
        <f>'Счет '!B18</f>
        <v>0</v>
      </c>
      <c r="C18" s="658"/>
      <c r="D18" s="658"/>
      <c r="E18" s="658"/>
      <c r="F18" s="658"/>
      <c r="G18" s="659"/>
      <c r="H18" s="445">
        <f>'Счет '!H18:I18</f>
        <v>0</v>
      </c>
      <c r="I18" s="445"/>
      <c r="J18" s="445">
        <f>'Счет '!J18:K18</f>
        <v>0</v>
      </c>
      <c r="K18" s="445"/>
      <c r="L18" s="445">
        <f>'Счет '!L18:M18</f>
        <v>0</v>
      </c>
      <c r="M18" s="445"/>
      <c r="N18" s="660">
        <f>'Счет '!N18:O18</f>
        <v>0</v>
      </c>
      <c r="O18" s="660"/>
      <c r="P18" s="661">
        <f>'Счет '!P18:Q18</f>
        <v>0</v>
      </c>
      <c r="Q18" s="661"/>
    </row>
    <row r="19" spans="1:17" ht="21" x14ac:dyDescent="0.25">
      <c r="A19" s="28">
        <v>3</v>
      </c>
      <c r="B19" s="657">
        <f>'Счет '!B19</f>
        <v>0</v>
      </c>
      <c r="C19" s="658"/>
      <c r="D19" s="658"/>
      <c r="E19" s="658"/>
      <c r="F19" s="658"/>
      <c r="G19" s="659"/>
      <c r="H19" s="445">
        <f>'Счет '!H19:I19</f>
        <v>0</v>
      </c>
      <c r="I19" s="445"/>
      <c r="J19" s="445">
        <f>'Счет '!J19:K19</f>
        <v>0</v>
      </c>
      <c r="K19" s="445"/>
      <c r="L19" s="445">
        <f>'Счет '!L19:M19</f>
        <v>0</v>
      </c>
      <c r="M19" s="445"/>
      <c r="N19" s="660">
        <f>'Счет '!N19:O19</f>
        <v>0</v>
      </c>
      <c r="O19" s="660"/>
      <c r="P19" s="661">
        <f>'Счет '!P19:Q19</f>
        <v>0</v>
      </c>
      <c r="Q19" s="661"/>
    </row>
    <row r="20" spans="1:17" ht="21" x14ac:dyDescent="0.25">
      <c r="A20" s="28">
        <v>4</v>
      </c>
      <c r="B20" s="657">
        <f>'Счет '!B20</f>
        <v>0</v>
      </c>
      <c r="C20" s="658"/>
      <c r="D20" s="658"/>
      <c r="E20" s="658"/>
      <c r="F20" s="658"/>
      <c r="G20" s="659"/>
      <c r="H20" s="445">
        <f>'Счет '!H20:I20</f>
        <v>0</v>
      </c>
      <c r="I20" s="445"/>
      <c r="J20" s="445">
        <f>'Счет '!J20:K20</f>
        <v>0</v>
      </c>
      <c r="K20" s="445"/>
      <c r="L20" s="445">
        <f>'Счет '!L20:M20</f>
        <v>0</v>
      </c>
      <c r="M20" s="445"/>
      <c r="N20" s="660">
        <f>'Счет '!N20:O20</f>
        <v>0</v>
      </c>
      <c r="O20" s="660"/>
      <c r="P20" s="661">
        <f>'Счет '!P20:Q20</f>
        <v>0</v>
      </c>
      <c r="Q20" s="661"/>
    </row>
    <row r="21" spans="1:17" ht="21" x14ac:dyDescent="0.25">
      <c r="A21" s="28">
        <v>5</v>
      </c>
      <c r="B21" s="657">
        <f>'Счет '!B21</f>
        <v>0</v>
      </c>
      <c r="C21" s="658"/>
      <c r="D21" s="658"/>
      <c r="E21" s="658"/>
      <c r="F21" s="658"/>
      <c r="G21" s="659"/>
      <c r="H21" s="445">
        <f>'Счет '!H21:I21</f>
        <v>0</v>
      </c>
      <c r="I21" s="445"/>
      <c r="J21" s="445">
        <f>'Счет '!J21:K21</f>
        <v>0</v>
      </c>
      <c r="K21" s="445"/>
      <c r="L21" s="445">
        <f>'Счет '!L21:M21</f>
        <v>0</v>
      </c>
      <c r="M21" s="445"/>
      <c r="N21" s="660">
        <f>'Счет '!N21:O21</f>
        <v>0</v>
      </c>
      <c r="O21" s="660"/>
      <c r="P21" s="661">
        <f>'Счет '!P21:Q21</f>
        <v>0</v>
      </c>
      <c r="Q21" s="661"/>
    </row>
    <row r="22" spans="1:17" ht="21" x14ac:dyDescent="0.25">
      <c r="A22" s="28">
        <v>6</v>
      </c>
      <c r="B22" s="657">
        <f>'Счет '!B22</f>
        <v>0</v>
      </c>
      <c r="C22" s="658"/>
      <c r="D22" s="658"/>
      <c r="E22" s="658"/>
      <c r="F22" s="658"/>
      <c r="G22" s="659"/>
      <c r="H22" s="445">
        <f>'Счет '!H22:I22</f>
        <v>0</v>
      </c>
      <c r="I22" s="445"/>
      <c r="J22" s="445">
        <f>'Счет '!J22:K22</f>
        <v>0</v>
      </c>
      <c r="K22" s="445"/>
      <c r="L22" s="445">
        <f>'Счет '!L22:M22</f>
        <v>0</v>
      </c>
      <c r="M22" s="445"/>
      <c r="N22" s="660">
        <f>'Счет '!N22:O22</f>
        <v>0</v>
      </c>
      <c r="O22" s="660"/>
      <c r="P22" s="661">
        <f>'Счет '!P22:Q22</f>
        <v>0</v>
      </c>
      <c r="Q22" s="661"/>
    </row>
    <row r="23" spans="1:17" ht="21" x14ac:dyDescent="0.25">
      <c r="A23" s="28">
        <v>7</v>
      </c>
      <c r="B23" s="657">
        <f>'Счет '!B23</f>
        <v>0</v>
      </c>
      <c r="C23" s="658"/>
      <c r="D23" s="658"/>
      <c r="E23" s="658"/>
      <c r="F23" s="658"/>
      <c r="G23" s="659"/>
      <c r="H23" s="445">
        <f>'Счет '!H23:I23</f>
        <v>0</v>
      </c>
      <c r="I23" s="445"/>
      <c r="J23" s="445">
        <f>'Счет '!J23:K23</f>
        <v>0</v>
      </c>
      <c r="K23" s="445"/>
      <c r="L23" s="445">
        <f>'Счет '!L23:M23</f>
        <v>0</v>
      </c>
      <c r="M23" s="445"/>
      <c r="N23" s="660">
        <f>'Счет '!N23:O23</f>
        <v>0</v>
      </c>
      <c r="O23" s="660"/>
      <c r="P23" s="661">
        <f>'Счет '!P23:Q23</f>
        <v>0</v>
      </c>
      <c r="Q23" s="661"/>
    </row>
    <row r="24" spans="1:17" ht="21" x14ac:dyDescent="0.25">
      <c r="A24" s="28">
        <v>8</v>
      </c>
      <c r="B24" s="657">
        <f>'Счет '!B24</f>
        <v>0</v>
      </c>
      <c r="C24" s="658"/>
      <c r="D24" s="658"/>
      <c r="E24" s="658"/>
      <c r="F24" s="658"/>
      <c r="G24" s="659"/>
      <c r="H24" s="445">
        <f>'Счет '!H24:I24</f>
        <v>0</v>
      </c>
      <c r="I24" s="445"/>
      <c r="J24" s="445">
        <f>'Счет '!J24:K24</f>
        <v>0</v>
      </c>
      <c r="K24" s="445"/>
      <c r="L24" s="445">
        <f>'Счет '!L24:M24</f>
        <v>0</v>
      </c>
      <c r="M24" s="445"/>
      <c r="N24" s="660">
        <f>'Счет '!N24:O24</f>
        <v>0</v>
      </c>
      <c r="O24" s="660"/>
      <c r="P24" s="661">
        <f>'Счет '!P24:Q24</f>
        <v>0</v>
      </c>
      <c r="Q24" s="661"/>
    </row>
    <row r="25" spans="1:17" ht="21" x14ac:dyDescent="0.25">
      <c r="A25" s="28">
        <v>9</v>
      </c>
      <c r="B25" s="657">
        <f>'Счет '!B25</f>
        <v>0</v>
      </c>
      <c r="C25" s="658"/>
      <c r="D25" s="658"/>
      <c r="E25" s="658"/>
      <c r="F25" s="658"/>
      <c r="G25" s="659"/>
      <c r="H25" s="445">
        <f>'Счет '!H25:I25</f>
        <v>0</v>
      </c>
      <c r="I25" s="445"/>
      <c r="J25" s="445">
        <f>'Счет '!J25:K25</f>
        <v>0</v>
      </c>
      <c r="K25" s="445"/>
      <c r="L25" s="445">
        <f>'Счет '!L25:M25</f>
        <v>0</v>
      </c>
      <c r="M25" s="445"/>
      <c r="N25" s="660">
        <f>'Счет '!N25:O25</f>
        <v>0</v>
      </c>
      <c r="O25" s="660"/>
      <c r="P25" s="661">
        <f>'Счет '!P25:Q25</f>
        <v>0</v>
      </c>
      <c r="Q25" s="661"/>
    </row>
    <row r="26" spans="1:17" ht="21" x14ac:dyDescent="0.25">
      <c r="A26" s="28">
        <v>10</v>
      </c>
      <c r="B26" s="657">
        <f>'Счет '!B26</f>
        <v>0</v>
      </c>
      <c r="C26" s="658"/>
      <c r="D26" s="658"/>
      <c r="E26" s="658"/>
      <c r="F26" s="658"/>
      <c r="G26" s="659"/>
      <c r="H26" s="445">
        <f>'Счет '!H26:I26</f>
        <v>0</v>
      </c>
      <c r="I26" s="445"/>
      <c r="J26" s="445">
        <f>'Счет '!J26:K26</f>
        <v>0</v>
      </c>
      <c r="K26" s="445"/>
      <c r="L26" s="445">
        <f>'Счет '!L26:M26</f>
        <v>0</v>
      </c>
      <c r="M26" s="445"/>
      <c r="N26" s="660">
        <f>'Счет '!N26:O26</f>
        <v>0</v>
      </c>
      <c r="O26" s="660"/>
      <c r="P26" s="661">
        <f>'Счет '!P26:Q26</f>
        <v>0</v>
      </c>
      <c r="Q26" s="661"/>
    </row>
    <row r="27" spans="1:17" ht="21" x14ac:dyDescent="0.25">
      <c r="A27" s="28">
        <v>11</v>
      </c>
      <c r="B27" s="657">
        <f>'Счет '!B27</f>
        <v>0</v>
      </c>
      <c r="C27" s="658"/>
      <c r="D27" s="658"/>
      <c r="E27" s="658"/>
      <c r="F27" s="658"/>
      <c r="G27" s="659"/>
      <c r="H27" s="445">
        <f>'Счет '!H27:I27</f>
        <v>0</v>
      </c>
      <c r="I27" s="445"/>
      <c r="J27" s="445">
        <f>'Счет '!J27:K27</f>
        <v>0</v>
      </c>
      <c r="K27" s="445"/>
      <c r="L27" s="445">
        <f>'Счет '!L27:M27</f>
        <v>0</v>
      </c>
      <c r="M27" s="445"/>
      <c r="N27" s="660">
        <f>'Счет '!N27:O27</f>
        <v>0</v>
      </c>
      <c r="O27" s="660"/>
      <c r="P27" s="661">
        <f>'Счет '!P27:Q27</f>
        <v>0</v>
      </c>
      <c r="Q27" s="661"/>
    </row>
    <row r="28" spans="1:17" ht="21" x14ac:dyDescent="0.25">
      <c r="A28" s="28">
        <v>12</v>
      </c>
      <c r="B28" s="657">
        <f>'Счет '!B28</f>
        <v>0</v>
      </c>
      <c r="C28" s="658"/>
      <c r="D28" s="658"/>
      <c r="E28" s="658"/>
      <c r="F28" s="658"/>
      <c r="G28" s="659"/>
      <c r="H28" s="445">
        <f>'Счет '!H28:I28</f>
        <v>0</v>
      </c>
      <c r="I28" s="445"/>
      <c r="J28" s="445">
        <f>'Счет '!J28:K28</f>
        <v>0</v>
      </c>
      <c r="K28" s="445"/>
      <c r="L28" s="445">
        <f>'Счет '!L28:M28</f>
        <v>0</v>
      </c>
      <c r="M28" s="445"/>
      <c r="N28" s="660">
        <f>'Счет '!N28:O28</f>
        <v>0</v>
      </c>
      <c r="O28" s="660"/>
      <c r="P28" s="661">
        <f>'Счет '!P28:Q28</f>
        <v>0</v>
      </c>
      <c r="Q28" s="661"/>
    </row>
    <row r="29" spans="1:17" ht="21" x14ac:dyDescent="0.25">
      <c r="A29" s="28">
        <v>13</v>
      </c>
      <c r="B29" s="657">
        <f>'Счет '!B29</f>
        <v>0</v>
      </c>
      <c r="C29" s="658"/>
      <c r="D29" s="658"/>
      <c r="E29" s="658"/>
      <c r="F29" s="658"/>
      <c r="G29" s="659"/>
      <c r="H29" s="445">
        <f>'Счет '!H29:I29</f>
        <v>0</v>
      </c>
      <c r="I29" s="445"/>
      <c r="J29" s="445">
        <f>'Счет '!J29:K29</f>
        <v>0</v>
      </c>
      <c r="K29" s="445"/>
      <c r="L29" s="445">
        <f>'Счет '!L29:M29</f>
        <v>0</v>
      </c>
      <c r="M29" s="445"/>
      <c r="N29" s="660">
        <f>'Счет '!N29:O29</f>
        <v>0</v>
      </c>
      <c r="O29" s="660"/>
      <c r="P29" s="661">
        <f>'Счет '!P29:Q29</f>
        <v>0</v>
      </c>
      <c r="Q29" s="661"/>
    </row>
    <row r="30" spans="1:17" ht="21" x14ac:dyDescent="0.25">
      <c r="A30" s="28">
        <v>14</v>
      </c>
      <c r="B30" s="657">
        <f>'Счет '!B30</f>
        <v>0</v>
      </c>
      <c r="C30" s="658"/>
      <c r="D30" s="658"/>
      <c r="E30" s="658"/>
      <c r="F30" s="658"/>
      <c r="G30" s="659"/>
      <c r="H30" s="445">
        <f>'Счет '!H30:I30</f>
        <v>0</v>
      </c>
      <c r="I30" s="445"/>
      <c r="J30" s="445">
        <f>'Счет '!J30:K30</f>
        <v>0</v>
      </c>
      <c r="K30" s="445"/>
      <c r="L30" s="445">
        <f>'Счет '!L30:M30</f>
        <v>0</v>
      </c>
      <c r="M30" s="445"/>
      <c r="N30" s="660">
        <f>'Счет '!N30:O30</f>
        <v>0</v>
      </c>
      <c r="O30" s="660"/>
      <c r="P30" s="661">
        <f>'Счет '!P30:Q30</f>
        <v>0</v>
      </c>
      <c r="Q30" s="661"/>
    </row>
    <row r="31" spans="1:17" ht="21" x14ac:dyDescent="0.25">
      <c r="A31" s="28">
        <v>15</v>
      </c>
      <c r="B31" s="657">
        <f>'Счет '!B31</f>
        <v>0</v>
      </c>
      <c r="C31" s="658"/>
      <c r="D31" s="658"/>
      <c r="E31" s="658"/>
      <c r="F31" s="658"/>
      <c r="G31" s="659"/>
      <c r="H31" s="445">
        <f>'Счет '!H31:I31</f>
        <v>0</v>
      </c>
      <c r="I31" s="445"/>
      <c r="J31" s="445">
        <f>'Счет '!J31:K31</f>
        <v>0</v>
      </c>
      <c r="K31" s="445"/>
      <c r="L31" s="445">
        <f>'Счет '!L31:M31</f>
        <v>0</v>
      </c>
      <c r="M31" s="445"/>
      <c r="N31" s="660">
        <f>'Счет '!N31:O31</f>
        <v>0</v>
      </c>
      <c r="O31" s="660"/>
      <c r="P31" s="661">
        <f>'Счет '!P31:Q31</f>
        <v>0</v>
      </c>
      <c r="Q31" s="661"/>
    </row>
    <row r="32" spans="1:17" ht="23.25" x14ac:dyDescent="0.35">
      <c r="A32" s="28">
        <v>16</v>
      </c>
      <c r="B32" s="657"/>
      <c r="C32" s="658"/>
      <c r="D32" s="658"/>
      <c r="E32" s="658"/>
      <c r="F32" s="658"/>
      <c r="G32" s="659"/>
      <c r="H32" s="445"/>
      <c r="I32" s="445"/>
      <c r="J32" s="445"/>
      <c r="K32" s="445"/>
      <c r="L32" s="445"/>
      <c r="M32" s="445"/>
      <c r="N32" s="664" t="s">
        <v>62</v>
      </c>
      <c r="O32" s="665"/>
      <c r="P32" s="394">
        <f ca="1">SUM(P17:Q31)</f>
        <v>0</v>
      </c>
      <c r="Q32" s="394"/>
    </row>
    <row r="33" spans="1:17" ht="23.25" x14ac:dyDescent="0.35">
      <c r="A33" s="28">
        <v>17</v>
      </c>
      <c r="B33" s="657"/>
      <c r="C33" s="658"/>
      <c r="D33" s="658"/>
      <c r="E33" s="658"/>
      <c r="F33" s="658"/>
      <c r="G33" s="659"/>
      <c r="H33" s="445"/>
      <c r="I33" s="445"/>
      <c r="J33" s="445"/>
      <c r="K33" s="445"/>
      <c r="L33" s="445"/>
      <c r="M33" s="445"/>
      <c r="N33" s="664"/>
      <c r="O33" s="665"/>
      <c r="P33" s="661"/>
      <c r="Q33" s="661"/>
    </row>
    <row r="34" spans="1:17" ht="23.25" x14ac:dyDescent="0.35">
      <c r="A34" s="28">
        <v>18</v>
      </c>
      <c r="B34" s="657"/>
      <c r="C34" s="658"/>
      <c r="D34" s="658"/>
      <c r="E34" s="658"/>
      <c r="F34" s="658"/>
      <c r="G34" s="659"/>
      <c r="H34" s="445"/>
      <c r="I34" s="445"/>
      <c r="J34" s="445"/>
      <c r="K34" s="445"/>
      <c r="L34" s="445"/>
      <c r="M34" s="445"/>
      <c r="N34" s="672"/>
      <c r="O34" s="673"/>
      <c r="P34" s="396"/>
      <c r="Q34" s="396"/>
    </row>
    <row r="35" spans="1:17" ht="23.25" x14ac:dyDescent="0.35">
      <c r="A35" s="28">
        <v>19</v>
      </c>
      <c r="B35" s="657"/>
      <c r="C35" s="658"/>
      <c r="D35" s="658"/>
      <c r="E35" s="658"/>
      <c r="F35" s="658"/>
      <c r="G35" s="659"/>
      <c r="H35" s="445"/>
      <c r="I35" s="445"/>
      <c r="J35" s="445"/>
      <c r="K35" s="445"/>
      <c r="L35" s="445"/>
      <c r="M35" s="445"/>
      <c r="N35" s="667"/>
      <c r="O35" s="668"/>
      <c r="P35" s="394"/>
      <c r="Q35" s="394"/>
    </row>
    <row r="36" spans="1:17" ht="21" x14ac:dyDescent="0.25">
      <c r="A36" s="28">
        <v>20</v>
      </c>
      <c r="B36" s="657"/>
      <c r="C36" s="658"/>
      <c r="D36" s="658"/>
      <c r="E36" s="658"/>
      <c r="F36" s="658"/>
      <c r="G36" s="659"/>
      <c r="H36" s="445"/>
      <c r="I36" s="445"/>
      <c r="J36" s="445"/>
      <c r="K36" s="445"/>
      <c r="L36" s="445"/>
      <c r="M36" s="445"/>
      <c r="N36" s="666"/>
      <c r="O36" s="666"/>
      <c r="P36" s="396"/>
      <c r="Q36" s="396"/>
    </row>
    <row r="37" spans="1:17" ht="21" x14ac:dyDescent="0.25">
      <c r="A37" s="28">
        <v>21</v>
      </c>
      <c r="B37" s="655"/>
      <c r="C37" s="674"/>
      <c r="D37" s="674"/>
      <c r="E37" s="674"/>
      <c r="F37" s="674"/>
      <c r="G37" s="674"/>
      <c r="H37" s="654"/>
      <c r="I37" s="654"/>
      <c r="J37" s="666"/>
      <c r="K37" s="666"/>
      <c r="L37" s="666"/>
      <c r="M37" s="666"/>
      <c r="N37" s="396"/>
      <c r="O37" s="666"/>
      <c r="P37" s="396"/>
      <c r="Q37" s="396"/>
    </row>
    <row r="38" spans="1:17" ht="21" x14ac:dyDescent="0.25">
      <c r="A38" s="28">
        <v>22</v>
      </c>
      <c r="B38" s="657"/>
      <c r="C38" s="658"/>
      <c r="D38" s="658"/>
      <c r="E38" s="658"/>
      <c r="F38" s="658"/>
      <c r="G38" s="659"/>
      <c r="H38" s="445"/>
      <c r="I38" s="445"/>
      <c r="J38" s="445"/>
      <c r="K38" s="445"/>
      <c r="L38" s="445"/>
      <c r="M38" s="445"/>
      <c r="N38" s="445"/>
      <c r="O38" s="445"/>
      <c r="P38" s="661"/>
      <c r="Q38" s="661"/>
    </row>
    <row r="39" spans="1:17" ht="21" x14ac:dyDescent="0.25">
      <c r="A39" s="28">
        <v>23</v>
      </c>
      <c r="B39" s="391" t="s">
        <v>136</v>
      </c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3"/>
      <c r="P39" s="394">
        <f ca="1">P32</f>
        <v>0</v>
      </c>
      <c r="Q39" s="394"/>
    </row>
    <row r="40" spans="1:17" ht="2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1" x14ac:dyDescent="0.35">
      <c r="A41" s="275" t="s">
        <v>65</v>
      </c>
      <c r="B41" s="275"/>
      <c r="C41" s="360" t="e">
        <f ca="1">[1]!ЧислоПрописьюВалюта(P39,2)</f>
        <v>#NAME?</v>
      </c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</row>
    <row r="42" spans="1:17" ht="2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2"/>
      <c r="P42" s="2"/>
      <c r="Q42" s="3"/>
    </row>
    <row r="43" spans="1:17" ht="2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2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21" x14ac:dyDescent="0.35">
      <c r="A45" s="275" t="s">
        <v>6</v>
      </c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</row>
    <row r="46" spans="1:17" ht="21" x14ac:dyDescent="0.35">
      <c r="A46" s="275" t="s">
        <v>45</v>
      </c>
      <c r="B46" s="275"/>
      <c r="C46" s="275"/>
      <c r="D46" s="275"/>
      <c r="E46" s="275"/>
      <c r="F46" s="275"/>
      <c r="G46" s="275"/>
      <c r="H46" s="1"/>
      <c r="I46" s="1"/>
      <c r="J46" s="275" t="s">
        <v>44</v>
      </c>
      <c r="K46" s="275"/>
      <c r="L46" s="275"/>
      <c r="M46" s="275"/>
      <c r="N46" s="275"/>
      <c r="O46" s="275"/>
      <c r="P46" s="275"/>
    </row>
    <row r="47" spans="1:17" ht="21" x14ac:dyDescent="0.35">
      <c r="A47" s="3" t="s">
        <v>10</v>
      </c>
      <c r="B47" s="290" t="str">
        <f>'Пр №1'!B50:G50</f>
        <v xml:space="preserve"> Зинченко Михаил Александрович</v>
      </c>
      <c r="C47" s="290"/>
      <c r="D47" s="290"/>
      <c r="E47" s="290"/>
      <c r="F47" s="290"/>
      <c r="G47" s="290"/>
      <c r="H47" s="3"/>
      <c r="I47" s="3"/>
      <c r="J47" s="290" t="str">
        <f>'Акт расч'!J60:K60</f>
        <v>Ф.И.О.:</v>
      </c>
      <c r="K47" s="290"/>
      <c r="L47" s="290" t="str">
        <f>'Пр №1'!L50:Q50</f>
        <v>ХХХХ ХХХХ ХХХХ</v>
      </c>
      <c r="M47" s="290"/>
      <c r="N47" s="290"/>
      <c r="O47" s="290"/>
      <c r="P47" s="290"/>
      <c r="Q47" s="290"/>
    </row>
    <row r="48" spans="1:17" ht="21" x14ac:dyDescent="0.35">
      <c r="A48" s="3" t="s">
        <v>28</v>
      </c>
      <c r="B48" s="363">
        <f>'Пр №1'!B51:G51</f>
        <v>22212200650516</v>
      </c>
      <c r="C48" s="363"/>
      <c r="D48" s="363"/>
      <c r="E48" s="363"/>
      <c r="F48" s="363"/>
      <c r="G48" s="363"/>
      <c r="H48" s="3"/>
      <c r="I48" s="12"/>
      <c r="J48" s="363" t="str">
        <f>'Акт расч'!J61:K61</f>
        <v>ПИН:</v>
      </c>
      <c r="K48" s="363"/>
      <c r="L48" s="363" t="str">
        <f>'Пр №1'!L51:P51</f>
        <v>ХХХХ</v>
      </c>
      <c r="M48" s="363"/>
      <c r="N48" s="363"/>
      <c r="O48" s="363"/>
      <c r="P48" s="363"/>
      <c r="Q48" s="23"/>
    </row>
    <row r="49" spans="1:17" ht="21" x14ac:dyDescent="0.35">
      <c r="A49" s="290" t="s">
        <v>29</v>
      </c>
      <c r="B49" s="290"/>
      <c r="C49" s="13" t="str">
        <f>'Пр №1'!C52</f>
        <v>ID</v>
      </c>
      <c r="D49" s="13" t="s">
        <v>12</v>
      </c>
      <c r="E49" s="290">
        <f>'Пр №1'!E52:G52</f>
        <v>3219844</v>
      </c>
      <c r="F49" s="290"/>
      <c r="G49" s="290"/>
      <c r="H49" s="3"/>
      <c r="I49" s="3"/>
      <c r="J49" s="290" t="str">
        <f>'Акт расч'!J62:K62</f>
        <v>Паспорт:</v>
      </c>
      <c r="K49" s="290"/>
      <c r="L49" s="13" t="str">
        <f>'Пр №1'!L52</f>
        <v>ХХХ</v>
      </c>
      <c r="M49" s="13" t="s">
        <v>12</v>
      </c>
      <c r="N49" s="290" t="str">
        <f>'Пр №1'!N52:O52</f>
        <v>ХХХХХ</v>
      </c>
      <c r="O49" s="290"/>
      <c r="P49" s="3"/>
    </row>
    <row r="50" spans="1:17" ht="21" x14ac:dyDescent="0.35">
      <c r="A50" s="290" t="s">
        <v>30</v>
      </c>
      <c r="B50" s="290"/>
      <c r="C50" s="290" t="str">
        <f>'Пр №1'!C53:G53</f>
        <v>МКК 218011 от 12.02.2023</v>
      </c>
      <c r="D50" s="290"/>
      <c r="E50" s="290"/>
      <c r="F50" s="290"/>
      <c r="G50" s="290"/>
      <c r="H50" s="16"/>
      <c r="I50" s="3"/>
      <c r="J50" s="290" t="str">
        <f>'Акт расч'!J63:K63</f>
        <v>Выдан:</v>
      </c>
      <c r="K50" s="290"/>
      <c r="L50" s="3" t="str">
        <f>'Пр №1'!L53</f>
        <v>МКК</v>
      </c>
      <c r="M50" s="276" t="str">
        <f>'Пр №1'!M53</f>
        <v>ХХХХ</v>
      </c>
      <c r="N50" s="276"/>
      <c r="O50" s="13" t="str">
        <f>'Пр №1'!N53</f>
        <v>от</v>
      </c>
      <c r="P50" s="669" t="str">
        <f>'Пр №1'!O53</f>
        <v>ХХХХ</v>
      </c>
      <c r="Q50" s="290"/>
    </row>
    <row r="51" spans="1:17" ht="21" x14ac:dyDescent="0.35">
      <c r="A51" s="290" t="s">
        <v>31</v>
      </c>
      <c r="B51" s="290"/>
      <c r="C51" s="290" t="str">
        <f>'Пр №1'!C54:G54</f>
        <v>г. Бишкек</v>
      </c>
      <c r="D51" s="290"/>
      <c r="E51" s="290"/>
      <c r="F51" s="290"/>
      <c r="G51" s="290"/>
      <c r="H51" s="11"/>
      <c r="I51" s="3"/>
      <c r="J51" s="290" t="str">
        <f>'Акт расч'!J64:K64</f>
        <v>Адрес:</v>
      </c>
      <c r="K51" s="290"/>
      <c r="L51" s="290" t="str">
        <f>'Пр №1'!L54:Q54</f>
        <v>Чуйская область г. Бишкек</v>
      </c>
      <c r="M51" s="290"/>
      <c r="N51" s="290"/>
      <c r="O51" s="290"/>
      <c r="P51" s="290"/>
      <c r="Q51" s="290"/>
    </row>
    <row r="52" spans="1:17" ht="21" x14ac:dyDescent="0.35">
      <c r="A52" s="290" t="str">
        <f>'Пр №1'!A55:G55</f>
        <v>ул. Ялтинская д. №  56</v>
      </c>
      <c r="B52" s="290"/>
      <c r="C52" s="290"/>
      <c r="D52" s="290"/>
      <c r="E52" s="290"/>
      <c r="F52" s="290"/>
      <c r="G52" s="290"/>
      <c r="H52" s="3"/>
      <c r="I52" s="3"/>
      <c r="J52" s="290" t="str">
        <f>'Пр №1'!J55:P55</f>
        <v>ул. ХХХХХ</v>
      </c>
      <c r="K52" s="290"/>
      <c r="L52" s="290"/>
      <c r="M52" s="290"/>
      <c r="N52" s="290"/>
      <c r="O52" s="290"/>
      <c r="P52" s="290"/>
      <c r="Q52" s="290"/>
    </row>
    <row r="53" spans="1:17" ht="21" x14ac:dyDescent="0.35">
      <c r="A53" s="290" t="s">
        <v>32</v>
      </c>
      <c r="B53" s="290"/>
      <c r="C53" s="290"/>
      <c r="D53" s="290">
        <f>'Пр №1'!D56:G56</f>
        <v>720051</v>
      </c>
      <c r="E53" s="290"/>
      <c r="F53" s="290"/>
      <c r="G53" s="290"/>
      <c r="H53" s="11"/>
      <c r="I53" s="3"/>
      <c r="J53" s="290" t="str">
        <f>'Акт расч'!J66:L66</f>
        <v>Почтовый индекс:</v>
      </c>
      <c r="K53" s="290"/>
      <c r="L53" s="290"/>
      <c r="M53" s="290">
        <f>'Пр №1'!M56:N56</f>
        <v>0</v>
      </c>
      <c r="N53" s="290"/>
      <c r="O53" s="3"/>
      <c r="P53" s="3"/>
    </row>
    <row r="54" spans="1:17" ht="21" x14ac:dyDescent="0.35">
      <c r="A54" s="290" t="s">
        <v>7</v>
      </c>
      <c r="B54" s="290"/>
      <c r="C54" s="290"/>
      <c r="D54" s="290"/>
      <c r="E54" s="290"/>
      <c r="F54" s="290"/>
      <c r="G54" s="290"/>
      <c r="H54" s="3"/>
      <c r="I54" s="3"/>
      <c r="J54" s="290" t="str">
        <f>'Акт расч'!J67:P67</f>
        <v>Банковские реквизиты:</v>
      </c>
      <c r="K54" s="290"/>
      <c r="L54" s="290"/>
      <c r="M54" s="290"/>
      <c r="N54" s="290"/>
      <c r="O54" s="290"/>
      <c r="P54" s="290"/>
    </row>
    <row r="55" spans="1:17" ht="21" x14ac:dyDescent="0.35">
      <c r="A55" s="290" t="str">
        <f>'Пр №1'!A58:G58</f>
        <v>ОАО "МБАНК" ФИЛИАЛ "МБАНК ПЛАЗА"</v>
      </c>
      <c r="B55" s="290"/>
      <c r="C55" s="290"/>
      <c r="D55" s="290"/>
      <c r="E55" s="290"/>
      <c r="F55" s="290"/>
      <c r="G55" s="290"/>
      <c r="H55" s="3"/>
      <c r="I55" s="3"/>
      <c r="J55" s="290">
        <f>'Пр №1'!J58:P58</f>
        <v>0</v>
      </c>
      <c r="K55" s="290"/>
      <c r="L55" s="290"/>
      <c r="M55" s="290"/>
      <c r="N55" s="290"/>
      <c r="O55" s="290"/>
      <c r="P55" s="290"/>
    </row>
    <row r="56" spans="1:17" ht="21" x14ac:dyDescent="0.35">
      <c r="A56" s="3" t="s">
        <v>49</v>
      </c>
      <c r="B56" s="363" t="str">
        <f>'Пр №1'!B59:G59</f>
        <v>"1033220001521202"</v>
      </c>
      <c r="C56" s="363"/>
      <c r="D56" s="363"/>
      <c r="E56" s="363"/>
      <c r="F56" s="363"/>
      <c r="G56" s="363"/>
      <c r="H56" s="3"/>
      <c r="I56" s="3"/>
      <c r="J56" s="3" t="str">
        <f>'Акт расч'!J69</f>
        <v>р/c:</v>
      </c>
      <c r="K56" s="363">
        <f>'Пр №1'!K59:P59</f>
        <v>0</v>
      </c>
      <c r="L56" s="363"/>
      <c r="M56" s="363"/>
      <c r="N56" s="363"/>
      <c r="O56" s="363"/>
      <c r="P56" s="363"/>
    </row>
    <row r="57" spans="1:17" ht="21" x14ac:dyDescent="0.35">
      <c r="A57" s="3" t="s">
        <v>9</v>
      </c>
      <c r="B57" s="290">
        <f>'Пр №1'!B60:G60</f>
        <v>103032</v>
      </c>
      <c r="C57" s="290"/>
      <c r="D57" s="290"/>
      <c r="E57" s="290"/>
      <c r="F57" s="290"/>
      <c r="G57" s="290"/>
      <c r="H57" s="3"/>
      <c r="I57" s="3"/>
      <c r="J57" s="3" t="str">
        <f>'Акт расч'!J70</f>
        <v>БИК:</v>
      </c>
      <c r="K57" s="290">
        <f>'Пр №1'!K60:P60</f>
        <v>0</v>
      </c>
      <c r="L57" s="290"/>
      <c r="M57" s="290"/>
      <c r="N57" s="290"/>
      <c r="O57" s="290"/>
      <c r="P57" s="290"/>
    </row>
    <row r="58" spans="1:17" ht="21" x14ac:dyDescent="0.35">
      <c r="A58" s="290" t="str">
        <f>'Пр №1'!A61:G61</f>
        <v>УГНС 003 Свердловского района</v>
      </c>
      <c r="B58" s="290"/>
      <c r="C58" s="290"/>
      <c r="D58" s="290"/>
      <c r="E58" s="290"/>
      <c r="F58" s="290"/>
      <c r="G58" s="290"/>
      <c r="H58" s="3"/>
      <c r="I58" s="3"/>
      <c r="J58" s="290" t="str">
        <f>'Акт расч'!J71:P71</f>
        <v>УГНС 000</v>
      </c>
      <c r="K58" s="290"/>
      <c r="L58" s="290"/>
      <c r="M58" s="290"/>
      <c r="N58" s="290"/>
      <c r="O58" s="290"/>
      <c r="P58" s="290"/>
    </row>
    <row r="59" spans="1:17" ht="21" x14ac:dyDescent="0.35">
      <c r="A59" s="3" t="str">
        <f>'Пр №1'!A62</f>
        <v>ОКПО:</v>
      </c>
      <c r="B59" s="276">
        <f>'Пр №1'!B62</f>
        <v>33158934</v>
      </c>
      <c r="C59" s="27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7" ht="21" x14ac:dyDescent="0.35">
      <c r="A60" s="276" t="str">
        <f>'Акт расч'!A73:C73</f>
        <v>З. М.</v>
      </c>
      <c r="B60" s="276"/>
      <c r="C60" s="276"/>
      <c r="D60" s="276" t="str">
        <f>'Акт расч'!D73:F73</f>
        <v>________________________</v>
      </c>
      <c r="E60" s="276"/>
      <c r="F60" s="276"/>
      <c r="G60" s="3"/>
      <c r="H60" s="3"/>
      <c r="I60" s="3"/>
      <c r="J60" s="276" t="str">
        <f>'Пр №1'!J63:L63</f>
        <v>ХХХХ Х. Х.</v>
      </c>
      <c r="K60" s="276"/>
      <c r="L60" s="276"/>
      <c r="M60" s="290" t="s">
        <v>33</v>
      </c>
      <c r="N60" s="290"/>
      <c r="O60" s="290"/>
      <c r="P60" s="290"/>
    </row>
    <row r="61" spans="1:17" ht="21" x14ac:dyDescent="0.35">
      <c r="A61" s="3"/>
      <c r="B61" s="3"/>
      <c r="C61" s="3"/>
      <c r="D61" s="283" t="str">
        <f>'Акт расч'!D74:F74</f>
        <v>(подпись)</v>
      </c>
      <c r="E61" s="283"/>
      <c r="F61" s="283"/>
      <c r="G61" s="3"/>
      <c r="H61" s="3"/>
      <c r="I61" s="3"/>
      <c r="J61" s="3"/>
      <c r="K61" s="3"/>
      <c r="L61" s="3"/>
      <c r="M61" s="283">
        <f>'Акт расч'!M74:P74</f>
        <v>0</v>
      </c>
      <c r="N61" s="283"/>
      <c r="O61" s="283"/>
      <c r="P61" s="283"/>
    </row>
    <row r="62" spans="1:17" ht="21" x14ac:dyDescent="0.35">
      <c r="A62" s="9" t="str">
        <f>'Пр №1'!A65</f>
        <v xml:space="preserve"> «</v>
      </c>
      <c r="B62" s="15">
        <f ca="1">'Пр №1'!B65</f>
        <v>9</v>
      </c>
      <c r="C62" s="10" t="str">
        <f>'Пр №1'!C65</f>
        <v>»</v>
      </c>
      <c r="D62" s="366" t="str">
        <f ca="1">'Пр №1'!D65:E65</f>
        <v>Январь</v>
      </c>
      <c r="E62" s="366"/>
      <c r="F62" s="10">
        <f ca="1">'Пр №1'!F65</f>
        <v>2026</v>
      </c>
      <c r="G62" s="10" t="str">
        <f>'Пр №1'!G65</f>
        <v>г.</v>
      </c>
      <c r="H62" s="9"/>
      <c r="I62" s="15"/>
      <c r="J62" s="5" t="str">
        <f>A62</f>
        <v xml:space="preserve"> «</v>
      </c>
      <c r="K62" s="5">
        <f ca="1">B62</f>
        <v>9</v>
      </c>
      <c r="L62" s="1" t="str">
        <f>C62</f>
        <v>»</v>
      </c>
      <c r="M62" s="275" t="str">
        <f ca="1">D62</f>
        <v>Январь</v>
      </c>
      <c r="N62" s="275"/>
      <c r="O62" s="1">
        <f ca="1">F62</f>
        <v>2026</v>
      </c>
      <c r="P62" s="1" t="str">
        <f>G62</f>
        <v>г.</v>
      </c>
    </row>
    <row r="63" spans="1:17" ht="21" x14ac:dyDescent="0.35">
      <c r="A63" s="276" t="s">
        <v>26</v>
      </c>
      <c r="B63" s="276"/>
      <c r="C63" s="276" t="str">
        <f>'Пр №1'!C66:G66</f>
        <v>+996 (552) 727 607</v>
      </c>
      <c r="D63" s="276"/>
      <c r="E63" s="276"/>
      <c r="F63" s="276"/>
      <c r="G63" s="276"/>
      <c r="H63" s="3"/>
      <c r="I63" s="3"/>
      <c r="J63" s="276" t="s">
        <v>26</v>
      </c>
      <c r="K63" s="276"/>
      <c r="L63" s="362" t="str">
        <f>'Пр №1'!L66:P66</f>
        <v>ХХХХ ХХХ ХХХХХ</v>
      </c>
      <c r="M63" s="362"/>
      <c r="N63" s="362"/>
      <c r="O63" s="362"/>
      <c r="P63" s="362"/>
    </row>
  </sheetData>
  <mergeCells count="213">
    <mergeCell ref="A9:Q9"/>
    <mergeCell ref="B10:E10"/>
    <mergeCell ref="F10:H10"/>
    <mergeCell ref="B11:F11"/>
    <mergeCell ref="G11:K11"/>
    <mergeCell ref="A4:Q4"/>
    <mergeCell ref="B6:E6"/>
    <mergeCell ref="L6:M6"/>
    <mergeCell ref="A7:F7"/>
    <mergeCell ref="G7:Q7"/>
    <mergeCell ref="A8:Q8"/>
    <mergeCell ref="I10:Q10"/>
    <mergeCell ref="L11:M11"/>
    <mergeCell ref="N11:P11"/>
    <mergeCell ref="B16:G16"/>
    <mergeCell ref="H16:I16"/>
    <mergeCell ref="J16:K16"/>
    <mergeCell ref="L16:M16"/>
    <mergeCell ref="N16:O16"/>
    <mergeCell ref="P16:Q16"/>
    <mergeCell ref="B12:C12"/>
    <mergeCell ref="D12:G12"/>
    <mergeCell ref="A13:I13"/>
    <mergeCell ref="A14:Q14"/>
    <mergeCell ref="A15:B15"/>
    <mergeCell ref="C15:K15"/>
    <mergeCell ref="B18:G18"/>
    <mergeCell ref="H18:I18"/>
    <mergeCell ref="J18:K18"/>
    <mergeCell ref="L18:M18"/>
    <mergeCell ref="N18:O18"/>
    <mergeCell ref="P18:Q18"/>
    <mergeCell ref="B17:G17"/>
    <mergeCell ref="H17:I17"/>
    <mergeCell ref="J17:K17"/>
    <mergeCell ref="L17:M17"/>
    <mergeCell ref="N17:O17"/>
    <mergeCell ref="P17:Q17"/>
    <mergeCell ref="B20:G20"/>
    <mergeCell ref="H20:I20"/>
    <mergeCell ref="J20:K20"/>
    <mergeCell ref="L20:M20"/>
    <mergeCell ref="N20:O20"/>
    <mergeCell ref="P20:Q20"/>
    <mergeCell ref="B19:G19"/>
    <mergeCell ref="H19:I19"/>
    <mergeCell ref="J19:K19"/>
    <mergeCell ref="L19:M19"/>
    <mergeCell ref="N19:O19"/>
    <mergeCell ref="P19:Q19"/>
    <mergeCell ref="B22:G22"/>
    <mergeCell ref="H22:I22"/>
    <mergeCell ref="J22:K22"/>
    <mergeCell ref="L22:M22"/>
    <mergeCell ref="N22:O22"/>
    <mergeCell ref="P22:Q22"/>
    <mergeCell ref="B21:G21"/>
    <mergeCell ref="H21:I21"/>
    <mergeCell ref="J21:K21"/>
    <mergeCell ref="L21:M21"/>
    <mergeCell ref="N21:O21"/>
    <mergeCell ref="P21:Q21"/>
    <mergeCell ref="B24:G24"/>
    <mergeCell ref="H24:I24"/>
    <mergeCell ref="J24:K24"/>
    <mergeCell ref="L24:M24"/>
    <mergeCell ref="N24:O24"/>
    <mergeCell ref="P24:Q24"/>
    <mergeCell ref="B23:G23"/>
    <mergeCell ref="H23:I23"/>
    <mergeCell ref="J23:K23"/>
    <mergeCell ref="L23:M23"/>
    <mergeCell ref="N23:O23"/>
    <mergeCell ref="P23:Q23"/>
    <mergeCell ref="B26:G26"/>
    <mergeCell ref="H26:I26"/>
    <mergeCell ref="J26:K26"/>
    <mergeCell ref="L26:M26"/>
    <mergeCell ref="N26:O26"/>
    <mergeCell ref="P26:Q26"/>
    <mergeCell ref="B25:G25"/>
    <mergeCell ref="H25:I25"/>
    <mergeCell ref="J25:K25"/>
    <mergeCell ref="L25:M25"/>
    <mergeCell ref="N25:O25"/>
    <mergeCell ref="P25:Q25"/>
    <mergeCell ref="B28:G28"/>
    <mergeCell ref="H28:I28"/>
    <mergeCell ref="J28:K28"/>
    <mergeCell ref="L28:M28"/>
    <mergeCell ref="N28:O28"/>
    <mergeCell ref="P28:Q28"/>
    <mergeCell ref="B27:G27"/>
    <mergeCell ref="H27:I27"/>
    <mergeCell ref="J27:K27"/>
    <mergeCell ref="L27:M27"/>
    <mergeCell ref="N27:O27"/>
    <mergeCell ref="P27:Q27"/>
    <mergeCell ref="B30:G30"/>
    <mergeCell ref="H30:I30"/>
    <mergeCell ref="J30:K30"/>
    <mergeCell ref="L30:M30"/>
    <mergeCell ref="N30:O30"/>
    <mergeCell ref="P30:Q30"/>
    <mergeCell ref="B29:G29"/>
    <mergeCell ref="H29:I29"/>
    <mergeCell ref="J29:K29"/>
    <mergeCell ref="L29:M29"/>
    <mergeCell ref="N29:O29"/>
    <mergeCell ref="P29:Q29"/>
    <mergeCell ref="B32:G32"/>
    <mergeCell ref="H32:I32"/>
    <mergeCell ref="J32:K32"/>
    <mergeCell ref="L32:M32"/>
    <mergeCell ref="N32:O32"/>
    <mergeCell ref="P32:Q32"/>
    <mergeCell ref="B31:G31"/>
    <mergeCell ref="H31:I31"/>
    <mergeCell ref="J31:K31"/>
    <mergeCell ref="L31:M31"/>
    <mergeCell ref="N31:O31"/>
    <mergeCell ref="P31:Q31"/>
    <mergeCell ref="B34:G34"/>
    <mergeCell ref="H34:I34"/>
    <mergeCell ref="J34:K34"/>
    <mergeCell ref="L34:M34"/>
    <mergeCell ref="N34:O34"/>
    <mergeCell ref="P34:Q34"/>
    <mergeCell ref="B33:G33"/>
    <mergeCell ref="H33:I33"/>
    <mergeCell ref="J33:K33"/>
    <mergeCell ref="L33:M33"/>
    <mergeCell ref="N33:O33"/>
    <mergeCell ref="P33:Q33"/>
    <mergeCell ref="B36:G36"/>
    <mergeCell ref="H36:I36"/>
    <mergeCell ref="J36:K36"/>
    <mergeCell ref="L36:M36"/>
    <mergeCell ref="N36:O36"/>
    <mergeCell ref="P36:Q36"/>
    <mergeCell ref="B35:G35"/>
    <mergeCell ref="H35:I35"/>
    <mergeCell ref="J35:K35"/>
    <mergeCell ref="L35:M35"/>
    <mergeCell ref="N35:O35"/>
    <mergeCell ref="P35:Q35"/>
    <mergeCell ref="J37:K37"/>
    <mergeCell ref="L37:M37"/>
    <mergeCell ref="N37:O37"/>
    <mergeCell ref="P37:Q37"/>
    <mergeCell ref="B38:G38"/>
    <mergeCell ref="H38:I38"/>
    <mergeCell ref="J38:K38"/>
    <mergeCell ref="L38:M38"/>
    <mergeCell ref="N38:O38"/>
    <mergeCell ref="B37:G37"/>
    <mergeCell ref="H37:I37"/>
    <mergeCell ref="A46:G46"/>
    <mergeCell ref="J46:P46"/>
    <mergeCell ref="B47:G47"/>
    <mergeCell ref="J47:K47"/>
    <mergeCell ref="L47:Q47"/>
    <mergeCell ref="B48:G48"/>
    <mergeCell ref="J48:K48"/>
    <mergeCell ref="L48:P48"/>
    <mergeCell ref="P38:Q38"/>
    <mergeCell ref="B39:O39"/>
    <mergeCell ref="P39:Q39"/>
    <mergeCell ref="A41:B41"/>
    <mergeCell ref="C41:Q41"/>
    <mergeCell ref="A45:Q45"/>
    <mergeCell ref="P50:Q50"/>
    <mergeCell ref="A51:B51"/>
    <mergeCell ref="C51:G51"/>
    <mergeCell ref="J51:K51"/>
    <mergeCell ref="L51:Q51"/>
    <mergeCell ref="A52:G52"/>
    <mergeCell ref="J52:Q52"/>
    <mergeCell ref="A49:B49"/>
    <mergeCell ref="E49:G49"/>
    <mergeCell ref="J49:K49"/>
    <mergeCell ref="N49:O49"/>
    <mergeCell ref="A50:B50"/>
    <mergeCell ref="C50:G50"/>
    <mergeCell ref="J50:K50"/>
    <mergeCell ref="M50:N50"/>
    <mergeCell ref="A55:G55"/>
    <mergeCell ref="J55:P55"/>
    <mergeCell ref="B56:G56"/>
    <mergeCell ref="K56:P56"/>
    <mergeCell ref="B57:G57"/>
    <mergeCell ref="K57:P57"/>
    <mergeCell ref="A53:C53"/>
    <mergeCell ref="D53:G53"/>
    <mergeCell ref="J53:L53"/>
    <mergeCell ref="M53:N53"/>
    <mergeCell ref="A54:G54"/>
    <mergeCell ref="J54:P54"/>
    <mergeCell ref="D61:F61"/>
    <mergeCell ref="M61:P61"/>
    <mergeCell ref="D62:E62"/>
    <mergeCell ref="M62:N62"/>
    <mergeCell ref="A63:B63"/>
    <mergeCell ref="C63:G63"/>
    <mergeCell ref="J63:K63"/>
    <mergeCell ref="L63:P63"/>
    <mergeCell ref="A58:G58"/>
    <mergeCell ref="J58:P58"/>
    <mergeCell ref="A60:C60"/>
    <mergeCell ref="D60:F60"/>
    <mergeCell ref="J60:L60"/>
    <mergeCell ref="M60:P60"/>
    <mergeCell ref="B59:C59"/>
  </mergeCells>
  <pageMargins left="0.7" right="0.7" top="0.75" bottom="0.75" header="0.3" footer="0.3"/>
  <pageSetup paperSize="9" scale="4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1"/>
  <dimension ref="A1:CU38"/>
  <sheetViews>
    <sheetView topLeftCell="A6" zoomScale="120" zoomScaleNormal="120" workbookViewId="0">
      <selection activeCell="BN23" sqref="BN23:CT25"/>
    </sheetView>
  </sheetViews>
  <sheetFormatPr defaultColWidth="1.42578125" defaultRowHeight="15" x14ac:dyDescent="0.25"/>
  <cols>
    <col min="1" max="5" width="1.42578125" style="33"/>
    <col min="6" max="6" width="1.140625" style="33" customWidth="1"/>
    <col min="7" max="36" width="1.42578125" style="33"/>
    <col min="37" max="37" width="1" style="33" customWidth="1"/>
    <col min="38" max="44" width="1.42578125" style="33"/>
    <col min="45" max="45" width="2.140625" style="33" customWidth="1"/>
    <col min="46" max="46" width="1.42578125" style="33"/>
    <col min="47" max="47" width="1.85546875" style="33" customWidth="1"/>
    <col min="48" max="51" width="1.42578125" style="33"/>
    <col min="52" max="52" width="1.7109375" style="33" customWidth="1"/>
    <col min="53" max="54" width="1.85546875" style="33" customWidth="1"/>
    <col min="55" max="60" width="1.42578125" style="33"/>
    <col min="61" max="61" width="1" style="33" customWidth="1"/>
    <col min="62" max="63" width="1.42578125" style="33"/>
    <col min="64" max="65" width="0.7109375" style="33" customWidth="1"/>
    <col min="66" max="69" width="1.42578125" style="33"/>
    <col min="70" max="70" width="2.140625" style="33" customWidth="1"/>
    <col min="71" max="71" width="3.5703125" style="33" customWidth="1"/>
    <col min="72" max="74" width="1.42578125" style="33"/>
    <col min="75" max="75" width="1.42578125" style="33" customWidth="1"/>
    <col min="76" max="87" width="1.42578125" style="33"/>
    <col min="88" max="88" width="2.140625" style="33" customWidth="1"/>
    <col min="89" max="90" width="1.42578125" style="33"/>
    <col min="91" max="91" width="1.7109375" style="33" customWidth="1"/>
    <col min="92" max="96" width="1.42578125" style="33"/>
    <col min="97" max="97" width="2.28515625" style="33" customWidth="1"/>
    <col min="98" max="98" width="2.140625" style="33" bestFit="1" customWidth="1"/>
    <col min="99" max="16384" width="1.42578125" style="33"/>
  </cols>
  <sheetData>
    <row r="1" spans="1:99" s="32" customFormat="1" ht="15" customHeight="1" x14ac:dyDescent="0.2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700" t="s">
        <v>85</v>
      </c>
      <c r="AQ1" s="700"/>
      <c r="AR1" s="700"/>
      <c r="AS1" s="700"/>
      <c r="AT1" s="700"/>
      <c r="AU1" s="700"/>
      <c r="AV1" s="700"/>
      <c r="AW1" s="700"/>
      <c r="AX1" s="700"/>
      <c r="AY1" s="700"/>
      <c r="AZ1" s="700"/>
      <c r="BA1" s="700"/>
      <c r="BB1" s="700"/>
      <c r="BC1" s="700"/>
      <c r="BD1" s="700"/>
      <c r="BE1" s="700"/>
      <c r="BF1" s="700"/>
      <c r="BG1" s="700"/>
      <c r="BH1" s="700"/>
      <c r="BI1" s="700"/>
      <c r="BJ1" s="700"/>
      <c r="BK1" s="700"/>
      <c r="BL1" s="701"/>
      <c r="BM1" s="693"/>
      <c r="BN1" s="200"/>
      <c r="BO1" s="200"/>
      <c r="BP1" s="677" t="str">
        <f>A8</f>
        <v xml:space="preserve"> Зинченко Михаил Александрович</v>
      </c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7"/>
      <c r="CF1" s="677"/>
      <c r="CG1" s="677"/>
      <c r="CH1" s="677"/>
      <c r="CI1" s="677"/>
      <c r="CJ1" s="677"/>
      <c r="CK1" s="677"/>
      <c r="CL1" s="677"/>
      <c r="CM1" s="677"/>
      <c r="CN1" s="677"/>
      <c r="CO1" s="677"/>
      <c r="CP1" s="677"/>
      <c r="CQ1" s="677"/>
      <c r="CR1" s="677"/>
      <c r="CS1" s="677"/>
      <c r="CT1" s="677"/>
      <c r="CU1" s="39"/>
    </row>
    <row r="2" spans="1:99" s="32" customFormat="1" ht="15" customHeight="1" x14ac:dyDescent="0.2">
      <c r="A2" s="200"/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700" t="str">
        <f>РКО!AV2</f>
        <v>Утверждена постановлением нацкомитета Кыргызской республики от 07.04.2003 №4</v>
      </c>
      <c r="X2" s="700"/>
      <c r="Y2" s="700"/>
      <c r="Z2" s="700"/>
      <c r="AA2" s="700"/>
      <c r="AB2" s="700"/>
      <c r="AC2" s="700"/>
      <c r="AD2" s="700"/>
      <c r="AE2" s="700"/>
      <c r="AF2" s="700"/>
      <c r="AG2" s="700"/>
      <c r="AH2" s="700"/>
      <c r="AI2" s="700"/>
      <c r="AJ2" s="700"/>
      <c r="AK2" s="700"/>
      <c r="AL2" s="700"/>
      <c r="AM2" s="700"/>
      <c r="AN2" s="700"/>
      <c r="AO2" s="700"/>
      <c r="AP2" s="700"/>
      <c r="AQ2" s="700"/>
      <c r="AR2" s="700"/>
      <c r="AS2" s="700"/>
      <c r="AT2" s="700"/>
      <c r="AU2" s="700"/>
      <c r="AV2" s="700"/>
      <c r="AW2" s="700"/>
      <c r="AX2" s="700"/>
      <c r="AY2" s="700"/>
      <c r="AZ2" s="700"/>
      <c r="BA2" s="700"/>
      <c r="BB2" s="700"/>
      <c r="BC2" s="700"/>
      <c r="BD2" s="700"/>
      <c r="BE2" s="700"/>
      <c r="BF2" s="700"/>
      <c r="BG2" s="700"/>
      <c r="BH2" s="700"/>
      <c r="BI2" s="700"/>
      <c r="BJ2" s="700"/>
      <c r="BK2" s="700"/>
      <c r="BL2" s="701"/>
      <c r="BM2" s="694"/>
      <c r="BN2" s="200"/>
      <c r="BO2" s="200"/>
      <c r="BP2" s="719" t="str">
        <f>A9</f>
        <v>организация</v>
      </c>
      <c r="BQ2" s="719"/>
      <c r="BR2" s="719"/>
      <c r="BS2" s="719"/>
      <c r="BT2" s="719"/>
      <c r="BU2" s="719"/>
      <c r="BV2" s="719"/>
      <c r="BW2" s="719"/>
      <c r="BX2" s="719"/>
      <c r="BY2" s="719"/>
      <c r="BZ2" s="719"/>
      <c r="CA2" s="719"/>
      <c r="CB2" s="719"/>
      <c r="CC2" s="719"/>
      <c r="CD2" s="719"/>
      <c r="CE2" s="719"/>
      <c r="CF2" s="719"/>
      <c r="CG2" s="719"/>
      <c r="CH2" s="719"/>
      <c r="CI2" s="719"/>
      <c r="CJ2" s="719"/>
      <c r="CK2" s="719"/>
      <c r="CL2" s="719"/>
      <c r="CM2" s="719"/>
      <c r="CN2" s="719"/>
      <c r="CO2" s="719"/>
      <c r="CP2" s="719"/>
      <c r="CQ2" s="719"/>
      <c r="CR2" s="719"/>
      <c r="CS2" s="719"/>
      <c r="CT2" s="719"/>
      <c r="CU2" s="39"/>
    </row>
    <row r="3" spans="1:99" x14ac:dyDescent="0.25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696"/>
      <c r="AS3" s="696"/>
      <c r="AT3" s="696"/>
      <c r="AU3" s="696"/>
      <c r="AV3" s="696"/>
      <c r="AW3" s="696"/>
      <c r="AX3" s="696"/>
      <c r="AY3" s="696"/>
      <c r="AZ3" s="696"/>
      <c r="BA3" s="696"/>
      <c r="BB3" s="696"/>
      <c r="BC3" s="696"/>
      <c r="BD3" s="696"/>
      <c r="BE3" s="201"/>
      <c r="BF3" s="201"/>
      <c r="BG3" s="201"/>
      <c r="BH3" s="201"/>
      <c r="BI3" s="201"/>
      <c r="BJ3" s="201"/>
      <c r="BK3" s="201"/>
      <c r="BL3" s="201"/>
      <c r="BM3" s="694"/>
      <c r="BN3" s="201"/>
      <c r="BO3" s="201"/>
      <c r="BP3" s="677" t="s">
        <v>125</v>
      </c>
      <c r="BQ3" s="677"/>
      <c r="BR3" s="677"/>
      <c r="BS3" s="677"/>
      <c r="BT3" s="677"/>
      <c r="BU3" s="677"/>
      <c r="BV3" s="677"/>
      <c r="BW3" s="677"/>
      <c r="BX3" s="677"/>
      <c r="BY3" s="677"/>
      <c r="BZ3" s="677"/>
      <c r="CA3" s="677"/>
      <c r="CB3" s="677"/>
      <c r="CC3" s="677"/>
      <c r="CD3" s="677"/>
      <c r="CE3" s="677"/>
      <c r="CF3" s="677"/>
      <c r="CG3" s="677"/>
      <c r="CH3" s="677"/>
      <c r="CI3" s="677"/>
      <c r="CJ3" s="677"/>
      <c r="CK3" s="677"/>
      <c r="CL3" s="677"/>
      <c r="CM3" s="677"/>
      <c r="CN3" s="677"/>
      <c r="CO3" s="677"/>
      <c r="CP3" s="677"/>
      <c r="CQ3" s="677"/>
      <c r="CR3" s="677"/>
      <c r="CS3" s="677"/>
      <c r="CT3" s="677"/>
      <c r="CU3" s="40"/>
    </row>
    <row r="4" spans="1:99" s="34" customFormat="1" ht="15" customHeight="1" x14ac:dyDescent="0.25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02"/>
      <c r="BE4" s="202"/>
      <c r="BF4" s="202"/>
      <c r="BG4" s="202"/>
      <c r="BH4" s="202"/>
      <c r="BI4" s="202"/>
      <c r="BJ4" s="202"/>
      <c r="BK4" s="202"/>
      <c r="BL4" s="202"/>
      <c r="BM4" s="694"/>
      <c r="BN4" s="202"/>
      <c r="BO4" s="202"/>
      <c r="BP4" s="720" t="s">
        <v>92</v>
      </c>
      <c r="BQ4" s="720"/>
      <c r="BR4" s="720"/>
      <c r="BS4" s="720"/>
      <c r="BT4" s="720"/>
      <c r="BU4" s="720"/>
      <c r="BV4" s="720"/>
      <c r="BW4" s="720"/>
      <c r="BX4" s="720"/>
      <c r="BY4" s="720"/>
      <c r="BZ4" s="720"/>
      <c r="CA4" s="720"/>
      <c r="CB4" s="720"/>
      <c r="CC4" s="720"/>
      <c r="CD4" s="720"/>
      <c r="CE4" s="720"/>
      <c r="CF4" s="720"/>
      <c r="CG4" s="720"/>
      <c r="CH4" s="720"/>
      <c r="CI4" s="720"/>
      <c r="CJ4" s="720"/>
      <c r="CK4" s="720"/>
      <c r="CL4" s="720"/>
      <c r="CM4" s="720"/>
      <c r="CN4" s="720"/>
      <c r="CO4" s="720"/>
      <c r="CP4" s="720"/>
      <c r="CQ4" s="720"/>
      <c r="CR4" s="720"/>
      <c r="CS4" s="720"/>
      <c r="CT4" s="720"/>
      <c r="CU4" s="41"/>
    </row>
    <row r="5" spans="1:99" x14ac:dyDescent="0.25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694"/>
      <c r="BN5" s="201"/>
      <c r="BO5" s="201"/>
      <c r="BP5" s="201"/>
      <c r="BQ5" s="201"/>
      <c r="BR5" s="201"/>
      <c r="BS5" s="201"/>
      <c r="BT5" s="201"/>
      <c r="BU5" s="201"/>
      <c r="BV5" s="201"/>
      <c r="BW5" s="201"/>
      <c r="BX5" s="201"/>
      <c r="BY5" s="201"/>
      <c r="BZ5" s="201"/>
      <c r="CA5" s="201"/>
      <c r="CB5" s="201"/>
      <c r="CC5" s="201"/>
      <c r="CD5" s="201"/>
      <c r="CE5" s="201"/>
      <c r="CF5" s="201"/>
      <c r="CG5" s="201"/>
      <c r="CH5" s="201"/>
      <c r="CI5" s="201"/>
      <c r="CJ5" s="201"/>
      <c r="CK5" s="201"/>
      <c r="CL5" s="201"/>
      <c r="CM5" s="201"/>
      <c r="CN5" s="201"/>
      <c r="CO5" s="201"/>
      <c r="CP5" s="201"/>
      <c r="CQ5" s="201"/>
      <c r="CR5" s="201"/>
      <c r="CS5" s="201"/>
      <c r="CT5" s="201"/>
      <c r="CU5" s="40"/>
    </row>
    <row r="6" spans="1:99" ht="15.75" thickBot="1" x14ac:dyDescent="0.3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688" t="s">
        <v>87</v>
      </c>
      <c r="BA6" s="688"/>
      <c r="BB6" s="688"/>
      <c r="BC6" s="688"/>
      <c r="BD6" s="688"/>
      <c r="BE6" s="688"/>
      <c r="BF6" s="688"/>
      <c r="BG6" s="688"/>
      <c r="BH6" s="688"/>
      <c r="BI6" s="688"/>
      <c r="BJ6" s="688"/>
      <c r="BK6" s="688"/>
      <c r="BL6" s="201"/>
      <c r="BM6" s="694"/>
      <c r="BN6" s="201"/>
      <c r="BO6" s="201"/>
      <c r="BP6" s="721" t="s">
        <v>88</v>
      </c>
      <c r="BQ6" s="721"/>
      <c r="BR6" s="721"/>
      <c r="BS6" s="721"/>
      <c r="BT6" s="721"/>
      <c r="BU6" s="721"/>
      <c r="BV6" s="721"/>
      <c r="BW6" s="721"/>
      <c r="BX6" s="721"/>
      <c r="BY6" s="721"/>
      <c r="BZ6" s="721"/>
      <c r="CA6" s="721"/>
      <c r="CB6" s="721"/>
      <c r="CC6" s="721"/>
      <c r="CD6" s="721"/>
      <c r="CE6" s="721"/>
      <c r="CF6" s="721"/>
      <c r="CG6" s="721"/>
      <c r="CH6" s="721"/>
      <c r="CI6" s="721"/>
      <c r="CJ6" s="721"/>
      <c r="CK6" s="721"/>
      <c r="CL6" s="721"/>
      <c r="CM6" s="721"/>
      <c r="CN6" s="721"/>
      <c r="CO6" s="721"/>
      <c r="CP6" s="721"/>
      <c r="CQ6" s="721"/>
      <c r="CR6" s="721"/>
      <c r="CS6" s="721"/>
      <c r="CT6" s="721"/>
      <c r="CU6" s="40"/>
    </row>
    <row r="7" spans="1:99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3" t="s">
        <v>621</v>
      </c>
      <c r="AY7" s="201"/>
      <c r="AZ7" s="725" t="s">
        <v>622</v>
      </c>
      <c r="BA7" s="726"/>
      <c r="BB7" s="726"/>
      <c r="BC7" s="726"/>
      <c r="BD7" s="726"/>
      <c r="BE7" s="726"/>
      <c r="BF7" s="726"/>
      <c r="BG7" s="726"/>
      <c r="BH7" s="726"/>
      <c r="BI7" s="726"/>
      <c r="BJ7" s="726"/>
      <c r="BK7" s="727"/>
      <c r="BL7" s="201"/>
      <c r="BM7" s="694"/>
      <c r="BN7" s="201"/>
      <c r="BO7" s="201"/>
      <c r="BP7" s="721"/>
      <c r="BQ7" s="721"/>
      <c r="BR7" s="721"/>
      <c r="BS7" s="721"/>
      <c r="BT7" s="721"/>
      <c r="BU7" s="721"/>
      <c r="BV7" s="721"/>
      <c r="BW7" s="721"/>
      <c r="BX7" s="721"/>
      <c r="BY7" s="721"/>
      <c r="BZ7" s="721"/>
      <c r="CA7" s="721"/>
      <c r="CB7" s="721"/>
      <c r="CC7" s="721"/>
      <c r="CD7" s="721"/>
      <c r="CE7" s="721"/>
      <c r="CF7" s="721"/>
      <c r="CG7" s="721"/>
      <c r="CH7" s="721"/>
      <c r="CI7" s="721"/>
      <c r="CJ7" s="721"/>
      <c r="CK7" s="721"/>
      <c r="CL7" s="721"/>
      <c r="CM7" s="721"/>
      <c r="CN7" s="721"/>
      <c r="CO7" s="721"/>
      <c r="CP7" s="721"/>
      <c r="CQ7" s="721"/>
      <c r="CR7" s="721"/>
      <c r="CS7" s="721"/>
      <c r="CT7" s="721"/>
      <c r="CU7" s="40"/>
    </row>
    <row r="8" spans="1:99" x14ac:dyDescent="0.25">
      <c r="A8" s="677" t="str">
        <f>Дог.!A14</f>
        <v xml:space="preserve"> Зинченко Михаил Александрович</v>
      </c>
      <c r="B8" s="677"/>
      <c r="C8" s="677"/>
      <c r="D8" s="677"/>
      <c r="E8" s="677"/>
      <c r="F8" s="677"/>
      <c r="G8" s="677"/>
      <c r="H8" s="677"/>
      <c r="I8" s="677"/>
      <c r="J8" s="677"/>
      <c r="K8" s="677"/>
      <c r="L8" s="677"/>
      <c r="M8" s="677"/>
      <c r="N8" s="677"/>
      <c r="O8" s="677"/>
      <c r="P8" s="677"/>
      <c r="Q8" s="677"/>
      <c r="R8" s="677"/>
      <c r="S8" s="677"/>
      <c r="T8" s="677"/>
      <c r="U8" s="677"/>
      <c r="V8" s="677"/>
      <c r="W8" s="677"/>
      <c r="X8" s="677"/>
      <c r="Y8" s="677"/>
      <c r="Z8" s="677"/>
      <c r="AA8" s="677"/>
      <c r="AB8" s="677"/>
      <c r="AC8" s="677"/>
      <c r="AD8" s="677"/>
      <c r="AE8" s="677"/>
      <c r="AF8" s="677"/>
      <c r="AG8" s="677"/>
      <c r="AH8" s="677"/>
      <c r="AI8" s="677"/>
      <c r="AJ8" s="677"/>
      <c r="AK8" s="677"/>
      <c r="AL8" s="677"/>
      <c r="AM8" s="677"/>
      <c r="AN8" s="677"/>
      <c r="AO8" s="677"/>
      <c r="AP8" s="677"/>
      <c r="AQ8" s="677"/>
      <c r="AR8" s="201"/>
      <c r="AS8" s="201"/>
      <c r="AT8" s="201"/>
      <c r="AU8" s="201"/>
      <c r="AV8" s="201"/>
      <c r="AW8" s="201"/>
      <c r="AX8" s="203" t="s">
        <v>90</v>
      </c>
      <c r="AY8" s="201"/>
      <c r="AZ8" s="728" t="s">
        <v>620</v>
      </c>
      <c r="BA8" s="729"/>
      <c r="BB8" s="729"/>
      <c r="BC8" s="729"/>
      <c r="BD8" s="729"/>
      <c r="BE8" s="729"/>
      <c r="BF8" s="729"/>
      <c r="BG8" s="729"/>
      <c r="BH8" s="729"/>
      <c r="BI8" s="729"/>
      <c r="BJ8" s="729"/>
      <c r="BK8" s="730"/>
      <c r="BL8" s="201"/>
      <c r="BM8" s="694"/>
      <c r="BN8" s="201"/>
      <c r="BO8" s="201"/>
      <c r="BP8" s="201"/>
      <c r="BQ8" s="201"/>
      <c r="BR8" s="201"/>
      <c r="BS8" s="201"/>
      <c r="BT8" s="201"/>
      <c r="BU8" s="201"/>
      <c r="BV8" s="201"/>
      <c r="BW8" s="201"/>
      <c r="BX8" s="201"/>
      <c r="BY8" s="201"/>
      <c r="BZ8" s="201"/>
      <c r="CA8" s="201"/>
      <c r="CB8" s="201"/>
      <c r="CC8" s="201"/>
      <c r="CD8" s="201"/>
      <c r="CE8" s="201"/>
      <c r="CF8" s="201"/>
      <c r="CG8" s="201"/>
      <c r="CH8" s="201"/>
      <c r="CI8" s="201"/>
      <c r="CJ8" s="201"/>
      <c r="CK8" s="201"/>
      <c r="CL8" s="201"/>
      <c r="CM8" s="201"/>
      <c r="CN8" s="201"/>
      <c r="CO8" s="201"/>
      <c r="CP8" s="201"/>
      <c r="CQ8" s="201"/>
      <c r="CR8" s="201"/>
      <c r="CS8" s="201"/>
      <c r="CT8" s="201"/>
      <c r="CU8" s="40"/>
    </row>
    <row r="9" spans="1:99" s="34" customFormat="1" ht="15.75" customHeight="1" thickBot="1" x14ac:dyDescent="0.3">
      <c r="A9" s="697" t="s">
        <v>86</v>
      </c>
      <c r="B9" s="697"/>
      <c r="C9" s="697"/>
      <c r="D9" s="697"/>
      <c r="E9" s="697"/>
      <c r="F9" s="697"/>
      <c r="G9" s="697"/>
      <c r="H9" s="697"/>
      <c r="I9" s="697"/>
      <c r="J9" s="697"/>
      <c r="K9" s="697"/>
      <c r="L9" s="697"/>
      <c r="M9" s="697"/>
      <c r="N9" s="697"/>
      <c r="O9" s="697"/>
      <c r="P9" s="697"/>
      <c r="Q9" s="697"/>
      <c r="R9" s="697"/>
      <c r="S9" s="697"/>
      <c r="T9" s="697"/>
      <c r="U9" s="697"/>
      <c r="V9" s="697"/>
      <c r="W9" s="697"/>
      <c r="X9" s="697"/>
      <c r="Y9" s="697"/>
      <c r="Z9" s="697"/>
      <c r="AA9" s="697"/>
      <c r="AB9" s="697"/>
      <c r="AC9" s="697"/>
      <c r="AD9" s="697"/>
      <c r="AE9" s="697"/>
      <c r="AF9" s="697"/>
      <c r="AG9" s="697"/>
      <c r="AH9" s="697"/>
      <c r="AI9" s="697"/>
      <c r="AJ9" s="697"/>
      <c r="AK9" s="697"/>
      <c r="AL9" s="697"/>
      <c r="AM9" s="697"/>
      <c r="AN9" s="697"/>
      <c r="AO9" s="697"/>
      <c r="AP9" s="697"/>
      <c r="AQ9" s="697"/>
      <c r="AR9" s="202"/>
      <c r="AS9" s="202"/>
      <c r="AT9" s="202"/>
      <c r="AU9" s="202"/>
      <c r="AV9" s="202"/>
      <c r="AW9" s="202"/>
      <c r="AX9" s="202"/>
      <c r="AY9" s="202"/>
      <c r="AZ9" s="705"/>
      <c r="BA9" s="706"/>
      <c r="BB9" s="706"/>
      <c r="BC9" s="706"/>
      <c r="BD9" s="706"/>
      <c r="BE9" s="706"/>
      <c r="BF9" s="706"/>
      <c r="BG9" s="706"/>
      <c r="BH9" s="706"/>
      <c r="BI9" s="706"/>
      <c r="BJ9" s="706"/>
      <c r="BK9" s="707"/>
      <c r="BL9" s="202"/>
      <c r="BM9" s="694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  <c r="CQ9" s="202"/>
      <c r="CR9" s="202"/>
      <c r="CS9" s="202"/>
      <c r="CT9" s="202"/>
      <c r="CU9" s="41"/>
    </row>
    <row r="10" spans="1:99" ht="15.75" thickBot="1" x14ac:dyDescent="0.3">
      <c r="A10" s="711" t="s">
        <v>142</v>
      </c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711"/>
      <c r="O10" s="711"/>
      <c r="P10" s="711"/>
      <c r="Q10" s="711"/>
      <c r="R10" s="711"/>
      <c r="S10" s="711"/>
      <c r="T10" s="711"/>
      <c r="U10" s="711"/>
      <c r="V10" s="711"/>
      <c r="W10" s="711"/>
      <c r="X10" s="711"/>
      <c r="Y10" s="711"/>
      <c r="Z10" s="711"/>
      <c r="AA10" s="711"/>
      <c r="AB10" s="711"/>
      <c r="AC10" s="711"/>
      <c r="AD10" s="711"/>
      <c r="AE10" s="711"/>
      <c r="AF10" s="711"/>
      <c r="AG10" s="711"/>
      <c r="AH10" s="711"/>
      <c r="AI10" s="711"/>
      <c r="AJ10" s="711"/>
      <c r="AK10" s="711"/>
      <c r="AL10" s="711"/>
      <c r="AM10" s="711"/>
      <c r="AN10" s="711"/>
      <c r="AO10" s="711"/>
      <c r="AP10" s="711"/>
      <c r="AQ10" s="711"/>
      <c r="AR10" s="711"/>
      <c r="AS10" s="711"/>
      <c r="AT10" s="711"/>
      <c r="AU10" s="711"/>
      <c r="AV10" s="711"/>
      <c r="AW10" s="711"/>
      <c r="AX10" s="711"/>
      <c r="AY10" s="201"/>
      <c r="AZ10" s="708"/>
      <c r="BA10" s="709"/>
      <c r="BB10" s="709"/>
      <c r="BC10" s="709"/>
      <c r="BD10" s="709"/>
      <c r="BE10" s="709"/>
      <c r="BF10" s="709"/>
      <c r="BG10" s="709"/>
      <c r="BH10" s="709"/>
      <c r="BI10" s="709"/>
      <c r="BJ10" s="709"/>
      <c r="BK10" s="710"/>
      <c r="BL10" s="201"/>
      <c r="BM10" s="694"/>
      <c r="BN10" s="722" t="s">
        <v>91</v>
      </c>
      <c r="BO10" s="723"/>
      <c r="BP10" s="723"/>
      <c r="BQ10" s="723"/>
      <c r="BR10" s="723"/>
      <c r="BS10" s="723"/>
      <c r="BT10" s="723"/>
      <c r="BU10" s="723"/>
      <c r="BV10" s="723"/>
      <c r="BW10" s="723"/>
      <c r="BX10" s="723"/>
      <c r="BY10" s="723"/>
      <c r="BZ10" s="723"/>
      <c r="CA10" s="723"/>
      <c r="CB10" s="723"/>
      <c r="CC10" s="723"/>
      <c r="CD10" s="723"/>
      <c r="CE10" s="723"/>
      <c r="CF10" s="723"/>
      <c r="CG10" s="724">
        <f ca="1">AJ15</f>
        <v>9</v>
      </c>
      <c r="CH10" s="685"/>
      <c r="CI10" s="685"/>
      <c r="CJ10" s="685">
        <f ca="1">AN15</f>
        <v>1</v>
      </c>
      <c r="CK10" s="685"/>
      <c r="CL10" s="685">
        <f ca="1">AQ15</f>
        <v>2026</v>
      </c>
      <c r="CM10" s="685"/>
      <c r="CN10" s="685"/>
      <c r="CO10" s="685"/>
      <c r="CP10" s="684">
        <f ca="1">AU15</f>
        <v>46031.871582060186</v>
      </c>
      <c r="CQ10" s="684"/>
      <c r="CR10" s="684"/>
      <c r="CS10" s="684"/>
      <c r="CT10" s="228">
        <f>AZ15</f>
        <v>1</v>
      </c>
      <c r="CU10" s="42"/>
    </row>
    <row r="11" spans="1:99" s="34" customFormat="1" ht="15" customHeight="1" x14ac:dyDescent="0.25">
      <c r="A11" s="697" t="s">
        <v>92</v>
      </c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  <c r="Y11" s="697"/>
      <c r="Z11" s="697"/>
      <c r="AA11" s="697"/>
      <c r="AB11" s="697"/>
      <c r="AC11" s="697"/>
      <c r="AD11" s="697"/>
      <c r="AE11" s="697"/>
      <c r="AF11" s="697"/>
      <c r="AG11" s="697"/>
      <c r="AH11" s="697"/>
      <c r="AI11" s="697"/>
      <c r="AJ11" s="697"/>
      <c r="AK11" s="697"/>
      <c r="AL11" s="697"/>
      <c r="AM11" s="697"/>
      <c r="AN11" s="697"/>
      <c r="AO11" s="697"/>
      <c r="AP11" s="697"/>
      <c r="AQ11" s="697"/>
      <c r="AR11" s="697"/>
      <c r="AS11" s="697"/>
      <c r="AT11" s="697"/>
      <c r="AU11" s="697"/>
      <c r="AV11" s="697"/>
      <c r="AW11" s="697"/>
      <c r="AX11" s="697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694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  <c r="CQ11" s="202"/>
      <c r="CR11" s="202"/>
      <c r="CS11" s="202"/>
      <c r="CT11" s="202"/>
      <c r="CU11" s="41"/>
    </row>
    <row r="12" spans="1:99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694"/>
      <c r="BN12" s="201"/>
      <c r="BO12" s="201"/>
      <c r="BP12" s="204" t="s">
        <v>93</v>
      </c>
      <c r="BQ12" s="201"/>
      <c r="BR12" s="201"/>
      <c r="BS12" s="677">
        <f ca="1">'Акт слом'!J6</f>
        <v>9</v>
      </c>
      <c r="BT12" s="677"/>
      <c r="BU12" s="201" t="s">
        <v>23</v>
      </c>
      <c r="BV12" s="677" t="str">
        <f ca="1">'Акт слом'!L6</f>
        <v>Январь</v>
      </c>
      <c r="BW12" s="677"/>
      <c r="BX12" s="677"/>
      <c r="BY12" s="677"/>
      <c r="BZ12" s="677"/>
      <c r="CA12" s="677"/>
      <c r="CB12" s="677"/>
      <c r="CC12" s="677"/>
      <c r="CD12" s="677"/>
      <c r="CE12" s="677"/>
      <c r="CF12" s="201"/>
      <c r="CG12" s="677">
        <f ca="1">'Акт слом'!N6</f>
        <v>2026</v>
      </c>
      <c r="CH12" s="677"/>
      <c r="CI12" s="677"/>
      <c r="CJ12" s="677"/>
      <c r="CK12" s="204" t="s">
        <v>94</v>
      </c>
      <c r="CL12" s="201"/>
      <c r="CM12" s="201"/>
      <c r="CN12" s="201"/>
      <c r="CO12" s="201"/>
      <c r="CP12" s="201"/>
      <c r="CQ12" s="201"/>
      <c r="CR12" s="201"/>
      <c r="CS12" s="201"/>
      <c r="CT12" s="201"/>
      <c r="CU12" s="40"/>
    </row>
    <row r="13" spans="1:99" ht="15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679" t="s">
        <v>673</v>
      </c>
      <c r="AK13" s="679"/>
      <c r="AL13" s="679"/>
      <c r="AM13" s="679"/>
      <c r="AN13" s="679"/>
      <c r="AO13" s="679"/>
      <c r="AP13" s="679"/>
      <c r="AQ13" s="679"/>
      <c r="AR13" s="679"/>
      <c r="AS13" s="679"/>
      <c r="AT13" s="679"/>
      <c r="AU13" s="679"/>
      <c r="AV13" s="679"/>
      <c r="AW13" s="679"/>
      <c r="AX13" s="679"/>
      <c r="AY13" s="679"/>
      <c r="AZ13" s="679"/>
      <c r="BA13" s="680"/>
      <c r="BB13" s="688" t="s">
        <v>95</v>
      </c>
      <c r="BC13" s="688"/>
      <c r="BD13" s="688"/>
      <c r="BE13" s="688"/>
      <c r="BF13" s="688"/>
      <c r="BG13" s="688"/>
      <c r="BH13" s="688"/>
      <c r="BI13" s="688"/>
      <c r="BJ13" s="688"/>
      <c r="BK13" s="688"/>
      <c r="BL13" s="201"/>
      <c r="BM13" s="694"/>
      <c r="BN13" s="201"/>
      <c r="BO13" s="201"/>
      <c r="BP13" s="201"/>
      <c r="BQ13" s="201"/>
      <c r="BR13" s="201"/>
      <c r="BS13" s="201"/>
      <c r="BT13" s="201"/>
      <c r="BU13" s="201"/>
      <c r="BV13" s="201"/>
      <c r="BW13" s="201"/>
      <c r="BX13" s="201"/>
      <c r="BY13" s="201"/>
      <c r="BZ13" s="201"/>
      <c r="CA13" s="201"/>
      <c r="CB13" s="201"/>
      <c r="CC13" s="201"/>
      <c r="CD13" s="201"/>
      <c r="CE13" s="201"/>
      <c r="CF13" s="201"/>
      <c r="CG13" s="201"/>
      <c r="CH13" s="201"/>
      <c r="CI13" s="201"/>
      <c r="CJ13" s="201"/>
      <c r="CK13" s="201"/>
      <c r="CL13" s="201"/>
      <c r="CM13" s="201"/>
      <c r="CN13" s="201"/>
      <c r="CO13" s="201"/>
      <c r="CP13" s="201"/>
      <c r="CQ13" s="201"/>
      <c r="CR13" s="201"/>
      <c r="CS13" s="201"/>
      <c r="CT13" s="201"/>
      <c r="CU13" s="40"/>
    </row>
    <row r="14" spans="1:99" ht="15.75" customHeight="1" thickBot="1" x14ac:dyDescent="0.3">
      <c r="A14" s="683" t="s">
        <v>96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683"/>
      <c r="O14" s="683"/>
      <c r="P14" s="683"/>
      <c r="Q14" s="683"/>
      <c r="R14" s="683"/>
      <c r="S14" s="683"/>
      <c r="T14" s="683"/>
      <c r="U14" s="683"/>
      <c r="V14" s="683"/>
      <c r="W14" s="683"/>
      <c r="X14" s="683"/>
      <c r="Y14" s="683"/>
      <c r="Z14" s="683"/>
      <c r="AA14" s="683"/>
      <c r="AB14" s="683"/>
      <c r="AC14" s="683"/>
      <c r="AD14" s="683"/>
      <c r="AE14" s="683"/>
      <c r="AF14" s="683"/>
      <c r="AG14" s="683"/>
      <c r="AH14" s="683"/>
      <c r="AI14" s="683"/>
      <c r="AJ14" s="681"/>
      <c r="AK14" s="681"/>
      <c r="AL14" s="681"/>
      <c r="AM14" s="681"/>
      <c r="AN14" s="681"/>
      <c r="AO14" s="681"/>
      <c r="AP14" s="681"/>
      <c r="AQ14" s="681"/>
      <c r="AR14" s="681"/>
      <c r="AS14" s="681"/>
      <c r="AT14" s="681"/>
      <c r="AU14" s="681"/>
      <c r="AV14" s="681"/>
      <c r="AW14" s="681"/>
      <c r="AX14" s="681"/>
      <c r="AY14" s="681"/>
      <c r="AZ14" s="681"/>
      <c r="BA14" s="682"/>
      <c r="BB14" s="712" t="s">
        <v>97</v>
      </c>
      <c r="BC14" s="712"/>
      <c r="BD14" s="712"/>
      <c r="BE14" s="712"/>
      <c r="BF14" s="712"/>
      <c r="BG14" s="712"/>
      <c r="BH14" s="712"/>
      <c r="BI14" s="712"/>
      <c r="BJ14" s="712"/>
      <c r="BK14" s="712"/>
      <c r="BL14" s="201"/>
      <c r="BM14" s="694"/>
      <c r="BN14" s="201"/>
      <c r="BO14" s="201"/>
      <c r="BP14" s="204" t="s">
        <v>98</v>
      </c>
      <c r="BQ14" s="201"/>
      <c r="BR14" s="201"/>
      <c r="BS14" s="201"/>
      <c r="BT14" s="201"/>
      <c r="BU14" s="201"/>
      <c r="BV14" s="201"/>
      <c r="BW14" s="201"/>
      <c r="BX14" s="677" t="str">
        <f>TRIM(SUBSTITUTE(LEFT(I23&amp;" ",SEARCH(" ",I23&amp;" ")+1)&amp;"."&amp; MID(I23&amp;" ",SEARCH(" ",I23&amp;" ",SEARCH(" ",I23&amp;" ")+1),2)&amp;"."," .",))</f>
        <v>ХХХХ Х. Х.</v>
      </c>
      <c r="BY14" s="677"/>
      <c r="BZ14" s="677"/>
      <c r="CA14" s="677"/>
      <c r="CB14" s="677"/>
      <c r="CC14" s="677"/>
      <c r="CD14" s="677"/>
      <c r="CE14" s="677"/>
      <c r="CF14" s="677"/>
      <c r="CG14" s="677"/>
      <c r="CH14" s="677"/>
      <c r="CI14" s="677"/>
      <c r="CJ14" s="677"/>
      <c r="CK14" s="677"/>
      <c r="CL14" s="677"/>
      <c r="CM14" s="677"/>
      <c r="CN14" s="677"/>
      <c r="CO14" s="677"/>
      <c r="CP14" s="677"/>
      <c r="CQ14" s="677"/>
      <c r="CR14" s="677"/>
      <c r="CS14" s="677"/>
      <c r="CT14" s="677"/>
      <c r="CU14" s="40"/>
    </row>
    <row r="15" spans="1:99" ht="15.75" customHeight="1" thickBot="1" x14ac:dyDescent="0.3">
      <c r="A15" s="226"/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687">
        <f ca="1">Фактура!K5</f>
        <v>9</v>
      </c>
      <c r="AK15" s="686"/>
      <c r="AL15" s="686"/>
      <c r="AM15" s="686"/>
      <c r="AN15" s="686">
        <f ca="1">Фактура!L5</f>
        <v>1</v>
      </c>
      <c r="AO15" s="686"/>
      <c r="AP15" s="686"/>
      <c r="AQ15" s="685">
        <f ca="1">Фактура!M5</f>
        <v>2026</v>
      </c>
      <c r="AR15" s="685"/>
      <c r="AS15" s="685"/>
      <c r="AT15" s="685"/>
      <c r="AU15" s="684">
        <f ca="1">Фактура!N5</f>
        <v>46031.871582060186</v>
      </c>
      <c r="AV15" s="684"/>
      <c r="AW15" s="684"/>
      <c r="AX15" s="684"/>
      <c r="AY15" s="684"/>
      <c r="AZ15" s="685">
        <f>Фактура!O5</f>
        <v>1</v>
      </c>
      <c r="BA15" s="718"/>
      <c r="BB15" s="713">
        <f ca="1">'Пр №1'!J21</f>
        <v>46031</v>
      </c>
      <c r="BC15" s="714"/>
      <c r="BD15" s="714"/>
      <c r="BE15" s="714"/>
      <c r="BF15" s="714"/>
      <c r="BG15" s="714"/>
      <c r="BH15" s="714"/>
      <c r="BI15" s="714"/>
      <c r="BJ15" s="714"/>
      <c r="BK15" s="715"/>
      <c r="BL15" s="201"/>
      <c r="BM15" s="694"/>
      <c r="BN15" s="201"/>
      <c r="BO15" s="201"/>
      <c r="BP15" s="677"/>
      <c r="BQ15" s="677"/>
      <c r="BR15" s="677"/>
      <c r="BS15" s="677"/>
      <c r="BT15" s="677"/>
      <c r="BU15" s="677"/>
      <c r="BV15" s="677"/>
      <c r="BW15" s="677"/>
      <c r="BX15" s="677"/>
      <c r="BY15" s="677"/>
      <c r="BZ15" s="677"/>
      <c r="CA15" s="677"/>
      <c r="CB15" s="677"/>
      <c r="CC15" s="677"/>
      <c r="CD15" s="677"/>
      <c r="CE15" s="677"/>
      <c r="CF15" s="677"/>
      <c r="CG15" s="677"/>
      <c r="CH15" s="677"/>
      <c r="CI15" s="677"/>
      <c r="CJ15" s="677"/>
      <c r="CK15" s="677"/>
      <c r="CL15" s="677"/>
      <c r="CM15" s="677"/>
      <c r="CN15" s="677"/>
      <c r="CO15" s="677"/>
      <c r="CP15" s="677"/>
      <c r="CQ15" s="677"/>
      <c r="CR15" s="677"/>
      <c r="CS15" s="677"/>
      <c r="CT15" s="677"/>
      <c r="CU15" s="40"/>
    </row>
    <row r="16" spans="1:99" ht="15" customHeight="1" x14ac:dyDescent="0.25">
      <c r="A16" s="227"/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1"/>
      <c r="BK16" s="201"/>
      <c r="BL16" s="201"/>
      <c r="BM16" s="694"/>
      <c r="BN16" s="201"/>
      <c r="BO16" s="201"/>
      <c r="BP16" s="699" t="s">
        <v>99</v>
      </c>
      <c r="BQ16" s="699"/>
      <c r="BR16" s="699"/>
      <c r="BS16" s="699"/>
      <c r="BT16" s="699"/>
      <c r="BU16" s="699"/>
      <c r="BV16" s="699"/>
      <c r="BW16" s="689" t="str">
        <f>I25</f>
        <v xml:space="preserve"> Обеспечительный платеж</v>
      </c>
      <c r="BX16" s="689"/>
      <c r="BY16" s="689"/>
      <c r="BZ16" s="689"/>
      <c r="CA16" s="689"/>
      <c r="CB16" s="689"/>
      <c r="CC16" s="689"/>
      <c r="CD16" s="689"/>
      <c r="CE16" s="689"/>
      <c r="CF16" s="689"/>
      <c r="CG16" s="689"/>
      <c r="CH16" s="689"/>
      <c r="CI16" s="689"/>
      <c r="CJ16" s="689"/>
      <c r="CK16" s="689"/>
      <c r="CL16" s="689"/>
      <c r="CM16" s="689"/>
      <c r="CN16" s="689"/>
      <c r="CO16" s="689"/>
      <c r="CP16" s="689"/>
      <c r="CQ16" s="689"/>
      <c r="CR16" s="689"/>
      <c r="CS16" s="689"/>
      <c r="CT16" s="689"/>
      <c r="CU16" s="40"/>
    </row>
    <row r="17" spans="1:99" x14ac:dyDescent="0.25">
      <c r="A17" s="702" t="s">
        <v>100</v>
      </c>
      <c r="B17" s="702"/>
      <c r="C17" s="702"/>
      <c r="D17" s="702"/>
      <c r="E17" s="702"/>
      <c r="F17" s="702"/>
      <c r="G17" s="703" t="s">
        <v>101</v>
      </c>
      <c r="H17" s="703"/>
      <c r="I17" s="703"/>
      <c r="J17" s="703"/>
      <c r="K17" s="703"/>
      <c r="L17" s="703"/>
      <c r="M17" s="703"/>
      <c r="N17" s="703"/>
      <c r="O17" s="703"/>
      <c r="P17" s="703"/>
      <c r="Q17" s="703"/>
      <c r="R17" s="703"/>
      <c r="S17" s="703"/>
      <c r="T17" s="703"/>
      <c r="U17" s="703"/>
      <c r="V17" s="703"/>
      <c r="W17" s="703"/>
      <c r="X17" s="703"/>
      <c r="Y17" s="703"/>
      <c r="Z17" s="703"/>
      <c r="AA17" s="703"/>
      <c r="AB17" s="703"/>
      <c r="AC17" s="703"/>
      <c r="AD17" s="703"/>
      <c r="AE17" s="703"/>
      <c r="AF17" s="703"/>
      <c r="AG17" s="703"/>
      <c r="AH17" s="703"/>
      <c r="AI17" s="703"/>
      <c r="AJ17" s="703"/>
      <c r="AK17" s="703"/>
      <c r="AL17" s="703"/>
      <c r="AM17" s="702" t="s">
        <v>102</v>
      </c>
      <c r="AN17" s="702"/>
      <c r="AO17" s="702"/>
      <c r="AP17" s="702"/>
      <c r="AQ17" s="702"/>
      <c r="AR17" s="702"/>
      <c r="AS17" s="702"/>
      <c r="AT17" s="702"/>
      <c r="AU17" s="702"/>
      <c r="AV17" s="702"/>
      <c r="AW17" s="702" t="s">
        <v>87</v>
      </c>
      <c r="AX17" s="702"/>
      <c r="AY17" s="702"/>
      <c r="AZ17" s="702"/>
      <c r="BA17" s="702"/>
      <c r="BB17" s="702"/>
      <c r="BC17" s="702"/>
      <c r="BD17" s="702"/>
      <c r="BE17" s="702"/>
      <c r="BF17" s="702"/>
      <c r="BG17" s="702"/>
      <c r="BH17" s="702"/>
      <c r="BI17" s="702"/>
      <c r="BJ17" s="702"/>
      <c r="BK17" s="702"/>
      <c r="BL17" s="201"/>
      <c r="BM17" s="694"/>
      <c r="BN17" s="201"/>
      <c r="BO17" s="201"/>
      <c r="BP17" s="677" t="str">
        <f>AI25</f>
        <v>Аренда строительного оборудования</v>
      </c>
      <c r="BQ17" s="677"/>
      <c r="BR17" s="677"/>
      <c r="BS17" s="677"/>
      <c r="BT17" s="677"/>
      <c r="BU17" s="677"/>
      <c r="BV17" s="677"/>
      <c r="BW17" s="677"/>
      <c r="BX17" s="677"/>
      <c r="BY17" s="677"/>
      <c r="BZ17" s="677"/>
      <c r="CA17" s="677"/>
      <c r="CB17" s="677"/>
      <c r="CC17" s="677"/>
      <c r="CD17" s="677"/>
      <c r="CE17" s="677"/>
      <c r="CF17" s="677"/>
      <c r="CG17" s="677"/>
      <c r="CH17" s="677"/>
      <c r="CI17" s="677"/>
      <c r="CJ17" s="677"/>
      <c r="CK17" s="677"/>
      <c r="CL17" s="677"/>
      <c r="CM17" s="677"/>
      <c r="CN17" s="677"/>
      <c r="CO17" s="677"/>
      <c r="CP17" s="677"/>
      <c r="CQ17" s="677"/>
      <c r="CR17" s="677"/>
      <c r="CS17" s="677"/>
      <c r="CT17" s="677"/>
      <c r="CU17" s="40"/>
    </row>
    <row r="18" spans="1:99" x14ac:dyDescent="0.25">
      <c r="A18" s="678"/>
      <c r="B18" s="678"/>
      <c r="C18" s="678"/>
      <c r="D18" s="678"/>
      <c r="E18" s="678"/>
      <c r="F18" s="678"/>
      <c r="G18" s="678"/>
      <c r="H18" s="678"/>
      <c r="I18" s="678"/>
      <c r="J18" s="678"/>
      <c r="K18" s="678"/>
      <c r="L18" s="678" t="s">
        <v>103</v>
      </c>
      <c r="M18" s="678"/>
      <c r="N18" s="678"/>
      <c r="O18" s="678"/>
      <c r="P18" s="678"/>
      <c r="Q18" s="678"/>
      <c r="R18" s="678"/>
      <c r="S18" s="678"/>
      <c r="T18" s="678"/>
      <c r="U18" s="678" t="s">
        <v>104</v>
      </c>
      <c r="V18" s="678"/>
      <c r="W18" s="678"/>
      <c r="X18" s="678"/>
      <c r="Y18" s="678"/>
      <c r="Z18" s="678"/>
      <c r="AA18" s="678"/>
      <c r="AB18" s="678"/>
      <c r="AC18" s="678"/>
      <c r="AD18" s="678" t="s">
        <v>103</v>
      </c>
      <c r="AE18" s="678"/>
      <c r="AF18" s="678"/>
      <c r="AG18" s="678"/>
      <c r="AH18" s="678"/>
      <c r="AI18" s="678"/>
      <c r="AJ18" s="678"/>
      <c r="AK18" s="678"/>
      <c r="AL18" s="678"/>
      <c r="AM18" s="678" t="s">
        <v>124</v>
      </c>
      <c r="AN18" s="678"/>
      <c r="AO18" s="678"/>
      <c r="AP18" s="678"/>
      <c r="AQ18" s="678"/>
      <c r="AR18" s="678"/>
      <c r="AS18" s="678"/>
      <c r="AT18" s="678"/>
      <c r="AU18" s="678"/>
      <c r="AV18" s="678"/>
      <c r="AW18" s="678" t="s">
        <v>105</v>
      </c>
      <c r="AX18" s="678"/>
      <c r="AY18" s="678"/>
      <c r="AZ18" s="678"/>
      <c r="BA18" s="678"/>
      <c r="BB18" s="678"/>
      <c r="BC18" s="678"/>
      <c r="BD18" s="678"/>
      <c r="BE18" s="678"/>
      <c r="BF18" s="678"/>
      <c r="BG18" s="678"/>
      <c r="BH18" s="678"/>
      <c r="BI18" s="678"/>
      <c r="BJ18" s="678"/>
      <c r="BK18" s="678"/>
      <c r="BL18" s="201"/>
      <c r="BM18" s="694"/>
      <c r="BN18" s="201"/>
      <c r="BO18" s="201"/>
      <c r="BP18" s="689" t="str">
        <f>A26</f>
        <v>XXXXXXX</v>
      </c>
      <c r="BQ18" s="689"/>
      <c r="BR18" s="689"/>
      <c r="BS18" s="689"/>
      <c r="BT18" s="689"/>
      <c r="BU18" s="689"/>
      <c r="BV18" s="689"/>
      <c r="BW18" s="689"/>
      <c r="BX18" s="689"/>
      <c r="BY18" s="689"/>
      <c r="BZ18" s="689"/>
      <c r="CA18" s="689"/>
      <c r="CB18" s="689"/>
      <c r="CC18" s="689"/>
      <c r="CD18" s="689"/>
      <c r="CE18" s="689"/>
      <c r="CF18" s="689"/>
      <c r="CG18" s="689"/>
      <c r="CH18" s="689"/>
      <c r="CI18" s="689"/>
      <c r="CJ18" s="689"/>
      <c r="CK18" s="689"/>
      <c r="CL18" s="689"/>
      <c r="CM18" s="689"/>
      <c r="CN18" s="689"/>
      <c r="CO18" s="689"/>
      <c r="CP18" s="689"/>
      <c r="CQ18" s="689"/>
      <c r="CR18" s="689"/>
      <c r="CS18" s="689"/>
      <c r="CT18" s="689"/>
      <c r="CU18" s="40"/>
    </row>
    <row r="19" spans="1:99" x14ac:dyDescent="0.25">
      <c r="A19" s="678"/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 t="s">
        <v>106</v>
      </c>
      <c r="M19" s="678"/>
      <c r="N19" s="678"/>
      <c r="O19" s="678"/>
      <c r="P19" s="678"/>
      <c r="Q19" s="678"/>
      <c r="R19" s="678"/>
      <c r="S19" s="678"/>
      <c r="T19" s="678"/>
      <c r="U19" s="678" t="s">
        <v>107</v>
      </c>
      <c r="V19" s="678"/>
      <c r="W19" s="678"/>
      <c r="X19" s="678"/>
      <c r="Y19" s="678"/>
      <c r="Z19" s="678"/>
      <c r="AA19" s="678"/>
      <c r="AB19" s="678"/>
      <c r="AC19" s="678"/>
      <c r="AD19" s="678" t="s">
        <v>108</v>
      </c>
      <c r="AE19" s="678"/>
      <c r="AF19" s="678"/>
      <c r="AG19" s="678"/>
      <c r="AH19" s="678"/>
      <c r="AI19" s="678"/>
      <c r="AJ19" s="678"/>
      <c r="AK19" s="678"/>
      <c r="AL19" s="678"/>
      <c r="AM19" s="716">
        <f>BU21</f>
        <v>3000</v>
      </c>
      <c r="AN19" s="717"/>
      <c r="AO19" s="717"/>
      <c r="AP19" s="717"/>
      <c r="AQ19" s="717"/>
      <c r="AR19" s="717"/>
      <c r="AS19" s="717"/>
      <c r="AT19" s="717"/>
      <c r="AU19" s="717"/>
      <c r="AV19" s="717"/>
      <c r="AW19" s="678" t="s">
        <v>109</v>
      </c>
      <c r="AX19" s="678"/>
      <c r="AY19" s="678"/>
      <c r="AZ19" s="678"/>
      <c r="BA19" s="678"/>
      <c r="BB19" s="678"/>
      <c r="BC19" s="678"/>
      <c r="BD19" s="678"/>
      <c r="BE19" s="678"/>
      <c r="BF19" s="678"/>
      <c r="BG19" s="678"/>
      <c r="BH19" s="678"/>
      <c r="BI19" s="678"/>
      <c r="BJ19" s="678"/>
      <c r="BK19" s="678"/>
      <c r="BL19" s="201"/>
      <c r="BM19" s="694"/>
      <c r="BN19" s="201"/>
      <c r="BO19" s="201"/>
      <c r="BP19" s="677"/>
      <c r="BQ19" s="677"/>
      <c r="BR19" s="677"/>
      <c r="BS19" s="677"/>
      <c r="BT19" s="677"/>
      <c r="BU19" s="677"/>
      <c r="BV19" s="677"/>
      <c r="BW19" s="677"/>
      <c r="BX19" s="677"/>
      <c r="BY19" s="677"/>
      <c r="BZ19" s="677"/>
      <c r="CA19" s="677"/>
      <c r="CB19" s="677"/>
      <c r="CC19" s="677"/>
      <c r="CD19" s="677"/>
      <c r="CE19" s="677"/>
      <c r="CF19" s="677"/>
      <c r="CG19" s="677"/>
      <c r="CH19" s="677"/>
      <c r="CI19" s="677"/>
      <c r="CJ19" s="677"/>
      <c r="CK19" s="677"/>
      <c r="CL19" s="677"/>
      <c r="CM19" s="677"/>
      <c r="CN19" s="677"/>
      <c r="CO19" s="677"/>
      <c r="CP19" s="677"/>
      <c r="CQ19" s="677"/>
      <c r="CR19" s="677"/>
      <c r="CS19" s="677"/>
      <c r="CT19" s="677"/>
      <c r="CU19" s="40"/>
    </row>
    <row r="20" spans="1:99" ht="15.75" thickBot="1" x14ac:dyDescent="0.3">
      <c r="A20" s="678"/>
      <c r="B20" s="678"/>
      <c r="C20" s="678"/>
      <c r="D20" s="678"/>
      <c r="E20" s="678"/>
      <c r="F20" s="678"/>
      <c r="G20" s="678"/>
      <c r="H20" s="678"/>
      <c r="I20" s="678"/>
      <c r="J20" s="678"/>
      <c r="K20" s="678"/>
      <c r="L20" s="678" t="s">
        <v>110</v>
      </c>
      <c r="M20" s="678"/>
      <c r="N20" s="678"/>
      <c r="O20" s="678"/>
      <c r="P20" s="678"/>
      <c r="Q20" s="678"/>
      <c r="R20" s="678"/>
      <c r="S20" s="678"/>
      <c r="T20" s="678"/>
      <c r="U20" s="678" t="s">
        <v>111</v>
      </c>
      <c r="V20" s="678"/>
      <c r="W20" s="678"/>
      <c r="X20" s="678"/>
      <c r="Y20" s="678"/>
      <c r="Z20" s="678"/>
      <c r="AA20" s="678"/>
      <c r="AB20" s="678"/>
      <c r="AC20" s="678"/>
      <c r="AD20" s="678" t="s">
        <v>112</v>
      </c>
      <c r="AE20" s="678"/>
      <c r="AF20" s="678"/>
      <c r="AG20" s="678"/>
      <c r="AH20" s="678"/>
      <c r="AI20" s="678"/>
      <c r="AJ20" s="678"/>
      <c r="AK20" s="678"/>
      <c r="AL20" s="678"/>
      <c r="AM20" s="678"/>
      <c r="AN20" s="678"/>
      <c r="AO20" s="678"/>
      <c r="AP20" s="678"/>
      <c r="AQ20" s="678"/>
      <c r="AR20" s="678"/>
      <c r="AS20" s="678"/>
      <c r="AT20" s="678"/>
      <c r="AU20" s="678"/>
      <c r="AV20" s="678"/>
      <c r="AW20" s="678"/>
      <c r="AX20" s="678"/>
      <c r="AY20" s="678"/>
      <c r="AZ20" s="678"/>
      <c r="BA20" s="678"/>
      <c r="BB20" s="678"/>
      <c r="BC20" s="678"/>
      <c r="BD20" s="678"/>
      <c r="BE20" s="678"/>
      <c r="BF20" s="678"/>
      <c r="BG20" s="678"/>
      <c r="BH20" s="678"/>
      <c r="BI20" s="678"/>
      <c r="BJ20" s="678"/>
      <c r="BK20" s="678"/>
      <c r="BL20" s="201"/>
      <c r="BM20" s="694"/>
      <c r="BN20" s="201"/>
      <c r="BO20" s="201"/>
      <c r="BP20" s="201"/>
      <c r="BQ20" s="201"/>
      <c r="BR20" s="201"/>
      <c r="BS20" s="201"/>
      <c r="BT20" s="201"/>
      <c r="BU20" s="201"/>
      <c r="BV20" s="201"/>
      <c r="BW20" s="201"/>
      <c r="BX20" s="201"/>
      <c r="BY20" s="201"/>
      <c r="BZ20" s="201"/>
      <c r="CA20" s="201"/>
      <c r="CB20" s="201"/>
      <c r="CC20" s="201"/>
      <c r="CD20" s="201"/>
      <c r="CE20" s="201"/>
      <c r="CF20" s="201"/>
      <c r="CG20" s="201"/>
      <c r="CH20" s="201"/>
      <c r="CI20" s="201"/>
      <c r="CJ20" s="201"/>
      <c r="CK20" s="201"/>
      <c r="CL20" s="201"/>
      <c r="CM20" s="201"/>
      <c r="CN20" s="201"/>
      <c r="CO20" s="201"/>
      <c r="CP20" s="201"/>
      <c r="CQ20" s="201"/>
      <c r="CR20" s="201"/>
      <c r="CS20" s="201"/>
      <c r="CT20" s="201"/>
      <c r="CU20" s="40"/>
    </row>
    <row r="21" spans="1:99" ht="16.5" thickBot="1" x14ac:dyDescent="0.3">
      <c r="A21" s="734"/>
      <c r="B21" s="690"/>
      <c r="C21" s="690"/>
      <c r="D21" s="690"/>
      <c r="E21" s="690"/>
      <c r="F21" s="690"/>
      <c r="G21" s="691"/>
      <c r="H21" s="691"/>
      <c r="I21" s="691"/>
      <c r="J21" s="691"/>
      <c r="K21" s="691"/>
      <c r="L21" s="690" t="s">
        <v>127</v>
      </c>
      <c r="M21" s="690"/>
      <c r="N21" s="690"/>
      <c r="O21" s="690"/>
      <c r="P21" s="690"/>
      <c r="Q21" s="690"/>
      <c r="R21" s="690"/>
      <c r="S21" s="690"/>
      <c r="T21" s="690"/>
      <c r="U21" s="690" t="s">
        <v>139</v>
      </c>
      <c r="V21" s="690"/>
      <c r="W21" s="690"/>
      <c r="X21" s="690"/>
      <c r="Y21" s="690"/>
      <c r="Z21" s="690"/>
      <c r="AA21" s="690"/>
      <c r="AB21" s="690"/>
      <c r="AC21" s="690"/>
      <c r="AD21" s="690" t="s">
        <v>140</v>
      </c>
      <c r="AE21" s="690"/>
      <c r="AF21" s="690"/>
      <c r="AG21" s="690"/>
      <c r="AH21" s="690"/>
      <c r="AI21" s="690"/>
      <c r="AJ21" s="690"/>
      <c r="AK21" s="690"/>
      <c r="AL21" s="690"/>
      <c r="AM21" s="735">
        <f>'Акт расч'!P43</f>
        <v>0</v>
      </c>
      <c r="AN21" s="691"/>
      <c r="AO21" s="691"/>
      <c r="AP21" s="691"/>
      <c r="AQ21" s="691"/>
      <c r="AR21" s="691"/>
      <c r="AS21" s="691"/>
      <c r="AT21" s="691"/>
      <c r="AU21" s="691"/>
      <c r="AV21" s="691"/>
      <c r="AW21" s="690" t="s">
        <v>141</v>
      </c>
      <c r="AX21" s="690"/>
      <c r="AY21" s="690"/>
      <c r="AZ21" s="690"/>
      <c r="BA21" s="690"/>
      <c r="BB21" s="690"/>
      <c r="BC21" s="690"/>
      <c r="BD21" s="690"/>
      <c r="BE21" s="690"/>
      <c r="BF21" s="691"/>
      <c r="BG21" s="691"/>
      <c r="BH21" s="691"/>
      <c r="BI21" s="691"/>
      <c r="BJ21" s="691"/>
      <c r="BK21" s="692"/>
      <c r="BL21" s="201"/>
      <c r="BM21" s="694"/>
      <c r="BN21" s="201"/>
      <c r="BO21" s="201"/>
      <c r="BP21" s="204" t="s">
        <v>113</v>
      </c>
      <c r="BQ21" s="201"/>
      <c r="BR21" s="201"/>
      <c r="BS21" s="201"/>
      <c r="BT21" s="201"/>
      <c r="BU21" s="731">
        <f>'Пр №1'!P30</f>
        <v>3000</v>
      </c>
      <c r="BV21" s="731"/>
      <c r="BW21" s="731"/>
      <c r="BX21" s="731"/>
      <c r="BY21" s="731"/>
      <c r="BZ21" s="731"/>
      <c r="CA21" s="731"/>
      <c r="CB21" s="731"/>
      <c r="CC21" s="731"/>
      <c r="CD21" s="731"/>
      <c r="CE21" s="731"/>
      <c r="CF21" s="731"/>
      <c r="CG21" s="731"/>
      <c r="CH21" s="731"/>
      <c r="CI21" s="731"/>
      <c r="CJ21" s="731"/>
      <c r="CK21" s="731"/>
      <c r="CL21" s="731"/>
      <c r="CM21" s="732" t="s">
        <v>542</v>
      </c>
      <c r="CN21" s="732"/>
      <c r="CO21" s="698" t="s">
        <v>126</v>
      </c>
      <c r="CP21" s="698"/>
      <c r="CQ21" s="698"/>
      <c r="CR21" s="698"/>
      <c r="CS21" s="698"/>
      <c r="CT21" s="698"/>
      <c r="CU21" s="40"/>
    </row>
    <row r="22" spans="1:99" s="34" customFormat="1" ht="15" customHeight="1" x14ac:dyDescent="0.25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694"/>
      <c r="BN22" s="202"/>
      <c r="BO22" s="202"/>
      <c r="BP22" s="202"/>
      <c r="BQ22" s="202"/>
      <c r="BR22" s="202"/>
      <c r="BS22" s="202"/>
      <c r="BT22" s="202"/>
      <c r="BU22" s="733" t="s">
        <v>114</v>
      </c>
      <c r="BV22" s="733"/>
      <c r="BW22" s="733"/>
      <c r="BX22" s="733"/>
      <c r="BY22" s="733"/>
      <c r="BZ22" s="733"/>
      <c r="CA22" s="733"/>
      <c r="CB22" s="733"/>
      <c r="CC22" s="733"/>
      <c r="CD22" s="733"/>
      <c r="CE22" s="733"/>
      <c r="CF22" s="733"/>
      <c r="CG22" s="733"/>
      <c r="CH22" s="733"/>
      <c r="CI22" s="733"/>
      <c r="CJ22" s="733"/>
      <c r="CK22" s="733"/>
      <c r="CL22" s="733"/>
      <c r="CM22" s="205"/>
      <c r="CN22" s="205"/>
      <c r="CO22" s="202"/>
      <c r="CP22" s="202"/>
      <c r="CQ22" s="202"/>
      <c r="CR22" s="202"/>
      <c r="CS22" s="202"/>
      <c r="CT22" s="202"/>
      <c r="CU22" s="41"/>
    </row>
    <row r="23" spans="1:99" ht="15" customHeight="1" x14ac:dyDescent="0.25">
      <c r="A23" s="704" t="s">
        <v>98</v>
      </c>
      <c r="B23" s="704"/>
      <c r="C23" s="704"/>
      <c r="D23" s="704"/>
      <c r="E23" s="704"/>
      <c r="F23" s="704"/>
      <c r="G23" s="704"/>
      <c r="H23" s="704"/>
      <c r="I23" s="698" t="str">
        <f>Дог.!A18</f>
        <v>ХХХХ ХХХХ ХХХХ</v>
      </c>
      <c r="J23" s="698"/>
      <c r="K23" s="698"/>
      <c r="L23" s="698"/>
      <c r="M23" s="698"/>
      <c r="N23" s="698"/>
      <c r="O23" s="698"/>
      <c r="P23" s="698"/>
      <c r="Q23" s="698"/>
      <c r="R23" s="698"/>
      <c r="S23" s="698"/>
      <c r="T23" s="698"/>
      <c r="U23" s="698"/>
      <c r="V23" s="698"/>
      <c r="W23" s="698"/>
      <c r="X23" s="698"/>
      <c r="Y23" s="698"/>
      <c r="Z23" s="698"/>
      <c r="AA23" s="698"/>
      <c r="AB23" s="698"/>
      <c r="AC23" s="698"/>
      <c r="AD23" s="698"/>
      <c r="AE23" s="698"/>
      <c r="AF23" s="698"/>
      <c r="AG23" s="698"/>
      <c r="AH23" s="698"/>
      <c r="AI23" s="698"/>
      <c r="AJ23" s="698"/>
      <c r="AK23" s="698"/>
      <c r="AL23" s="698"/>
      <c r="AM23" s="698"/>
      <c r="AN23" s="698"/>
      <c r="AO23" s="698"/>
      <c r="AP23" s="698"/>
      <c r="AQ23" s="698"/>
      <c r="AR23" s="698"/>
      <c r="AS23" s="698"/>
      <c r="AT23" s="698"/>
      <c r="AU23" s="698"/>
      <c r="AV23" s="698"/>
      <c r="AW23" s="698"/>
      <c r="AX23" s="698"/>
      <c r="AY23" s="698"/>
      <c r="AZ23" s="698"/>
      <c r="BA23" s="698"/>
      <c r="BB23" s="698"/>
      <c r="BC23" s="698"/>
      <c r="BD23" s="698"/>
      <c r="BE23" s="698"/>
      <c r="BF23" s="698"/>
      <c r="BG23" s="698"/>
      <c r="BH23" s="698"/>
      <c r="BI23" s="698"/>
      <c r="BJ23" s="698"/>
      <c r="BK23" s="698"/>
      <c r="BL23" s="201"/>
      <c r="BM23" s="694"/>
      <c r="BN23" s="736" t="e">
        <f ca="1">[1]!ЧислоПрописьюВалюта(BU21,2)</f>
        <v>#NAME?</v>
      </c>
      <c r="BO23" s="736"/>
      <c r="BP23" s="736"/>
      <c r="BQ23" s="736"/>
      <c r="BR23" s="736"/>
      <c r="BS23" s="736"/>
      <c r="BT23" s="736"/>
      <c r="BU23" s="736"/>
      <c r="BV23" s="736"/>
      <c r="BW23" s="736"/>
      <c r="BX23" s="736"/>
      <c r="BY23" s="736"/>
      <c r="BZ23" s="736"/>
      <c r="CA23" s="736"/>
      <c r="CB23" s="736"/>
      <c r="CC23" s="736"/>
      <c r="CD23" s="736"/>
      <c r="CE23" s="736"/>
      <c r="CF23" s="736"/>
      <c r="CG23" s="736"/>
      <c r="CH23" s="736"/>
      <c r="CI23" s="736"/>
      <c r="CJ23" s="736"/>
      <c r="CK23" s="736"/>
      <c r="CL23" s="736"/>
      <c r="CM23" s="736"/>
      <c r="CN23" s="736"/>
      <c r="CO23" s="736"/>
      <c r="CP23" s="736"/>
      <c r="CQ23" s="736"/>
      <c r="CR23" s="736"/>
      <c r="CS23" s="736"/>
      <c r="CT23" s="736"/>
      <c r="CU23" s="40"/>
    </row>
    <row r="24" spans="1:99" s="34" customFormat="1" ht="10.5" customHeight="1" x14ac:dyDescent="0.25">
      <c r="A24" s="704"/>
      <c r="B24" s="704"/>
      <c r="C24" s="704"/>
      <c r="D24" s="704"/>
      <c r="E24" s="704"/>
      <c r="F24" s="704"/>
      <c r="G24" s="704"/>
      <c r="H24" s="704"/>
      <c r="I24" s="677"/>
      <c r="J24" s="677"/>
      <c r="K24" s="677"/>
      <c r="L24" s="677"/>
      <c r="M24" s="677"/>
      <c r="N24" s="677"/>
      <c r="O24" s="677"/>
      <c r="P24" s="677"/>
      <c r="Q24" s="677"/>
      <c r="R24" s="677"/>
      <c r="S24" s="677"/>
      <c r="T24" s="677"/>
      <c r="U24" s="677"/>
      <c r="V24" s="677"/>
      <c r="W24" s="677"/>
      <c r="X24" s="677"/>
      <c r="Y24" s="677"/>
      <c r="Z24" s="677"/>
      <c r="AA24" s="677"/>
      <c r="AB24" s="677"/>
      <c r="AC24" s="677"/>
      <c r="AD24" s="677"/>
      <c r="AE24" s="677"/>
      <c r="AF24" s="677"/>
      <c r="AG24" s="677"/>
      <c r="AH24" s="677"/>
      <c r="AI24" s="677"/>
      <c r="AJ24" s="677"/>
      <c r="AK24" s="677"/>
      <c r="AL24" s="677"/>
      <c r="AM24" s="677"/>
      <c r="AN24" s="677"/>
      <c r="AO24" s="677"/>
      <c r="AP24" s="677"/>
      <c r="AQ24" s="677"/>
      <c r="AR24" s="677"/>
      <c r="AS24" s="677"/>
      <c r="AT24" s="677"/>
      <c r="AU24" s="677"/>
      <c r="AV24" s="677"/>
      <c r="AW24" s="677"/>
      <c r="AX24" s="677"/>
      <c r="AY24" s="677"/>
      <c r="AZ24" s="677"/>
      <c r="BA24" s="677"/>
      <c r="BB24" s="677"/>
      <c r="BC24" s="677"/>
      <c r="BD24" s="677"/>
      <c r="BE24" s="677"/>
      <c r="BF24" s="677"/>
      <c r="BG24" s="677"/>
      <c r="BH24" s="677"/>
      <c r="BI24" s="677"/>
      <c r="BJ24" s="677"/>
      <c r="BK24" s="677"/>
      <c r="BL24" s="202"/>
      <c r="BM24" s="694"/>
      <c r="BN24" s="736"/>
      <c r="BO24" s="736"/>
      <c r="BP24" s="736"/>
      <c r="BQ24" s="736"/>
      <c r="BR24" s="736"/>
      <c r="BS24" s="736"/>
      <c r="BT24" s="736"/>
      <c r="BU24" s="736"/>
      <c r="BV24" s="736"/>
      <c r="BW24" s="736"/>
      <c r="BX24" s="736"/>
      <c r="BY24" s="736"/>
      <c r="BZ24" s="736"/>
      <c r="CA24" s="736"/>
      <c r="CB24" s="736"/>
      <c r="CC24" s="736"/>
      <c r="CD24" s="736"/>
      <c r="CE24" s="736"/>
      <c r="CF24" s="736"/>
      <c r="CG24" s="736"/>
      <c r="CH24" s="736"/>
      <c r="CI24" s="736"/>
      <c r="CJ24" s="736"/>
      <c r="CK24" s="736"/>
      <c r="CL24" s="736"/>
      <c r="CM24" s="736"/>
      <c r="CN24" s="736"/>
      <c r="CO24" s="736"/>
      <c r="CP24" s="736"/>
      <c r="CQ24" s="736"/>
      <c r="CR24" s="736"/>
      <c r="CS24" s="736"/>
      <c r="CT24" s="736"/>
      <c r="CU24" s="41"/>
    </row>
    <row r="25" spans="1:99" ht="15" customHeight="1" x14ac:dyDescent="0.25">
      <c r="A25" s="698" t="s">
        <v>99</v>
      </c>
      <c r="B25" s="698"/>
      <c r="C25" s="698"/>
      <c r="D25" s="698"/>
      <c r="E25" s="698"/>
      <c r="F25" s="698"/>
      <c r="G25" s="698"/>
      <c r="H25" s="698"/>
      <c r="I25" s="689" t="s">
        <v>663</v>
      </c>
      <c r="J25" s="689"/>
      <c r="K25" s="689"/>
      <c r="L25" s="689"/>
      <c r="M25" s="689"/>
      <c r="N25" s="689"/>
      <c r="O25" s="689"/>
      <c r="P25" s="689"/>
      <c r="Q25" s="689"/>
      <c r="R25" s="689"/>
      <c r="S25" s="689"/>
      <c r="T25" s="689"/>
      <c r="U25" s="689"/>
      <c r="V25" s="689"/>
      <c r="W25" s="689"/>
      <c r="X25" s="689"/>
      <c r="Y25" s="689"/>
      <c r="Z25" s="689"/>
      <c r="AA25" s="689"/>
      <c r="AB25" s="689"/>
      <c r="AC25" s="689"/>
      <c r="AD25" s="689"/>
      <c r="AE25" s="689"/>
      <c r="AF25" s="689"/>
      <c r="AG25" s="689"/>
      <c r="AH25" s="689"/>
      <c r="AI25" s="689" t="s">
        <v>128</v>
      </c>
      <c r="AJ25" s="689"/>
      <c r="AK25" s="689"/>
      <c r="AL25" s="689"/>
      <c r="AM25" s="689"/>
      <c r="AN25" s="689"/>
      <c r="AO25" s="689"/>
      <c r="AP25" s="689"/>
      <c r="AQ25" s="689"/>
      <c r="AR25" s="689"/>
      <c r="AS25" s="689"/>
      <c r="AT25" s="689"/>
      <c r="AU25" s="689"/>
      <c r="AV25" s="689"/>
      <c r="AW25" s="689"/>
      <c r="AX25" s="689"/>
      <c r="AY25" s="689"/>
      <c r="AZ25" s="689"/>
      <c r="BA25" s="689"/>
      <c r="BB25" s="689"/>
      <c r="BC25" s="689"/>
      <c r="BD25" s="689"/>
      <c r="BE25" s="689"/>
      <c r="BF25" s="689"/>
      <c r="BG25" s="689"/>
      <c r="BH25" s="689"/>
      <c r="BI25" s="689"/>
      <c r="BJ25" s="689"/>
      <c r="BK25" s="689"/>
      <c r="BL25" s="201"/>
      <c r="BM25" s="694"/>
      <c r="BN25" s="737"/>
      <c r="BO25" s="737"/>
      <c r="BP25" s="737"/>
      <c r="BQ25" s="737"/>
      <c r="BR25" s="737"/>
      <c r="BS25" s="737"/>
      <c r="BT25" s="737"/>
      <c r="BU25" s="737"/>
      <c r="BV25" s="737"/>
      <c r="BW25" s="737"/>
      <c r="BX25" s="737"/>
      <c r="BY25" s="737"/>
      <c r="BZ25" s="737"/>
      <c r="CA25" s="737"/>
      <c r="CB25" s="737"/>
      <c r="CC25" s="737"/>
      <c r="CD25" s="737"/>
      <c r="CE25" s="737"/>
      <c r="CF25" s="737"/>
      <c r="CG25" s="737"/>
      <c r="CH25" s="737"/>
      <c r="CI25" s="737"/>
      <c r="CJ25" s="737"/>
      <c r="CK25" s="737"/>
      <c r="CL25" s="737"/>
      <c r="CM25" s="737"/>
      <c r="CN25" s="737"/>
      <c r="CO25" s="737"/>
      <c r="CP25" s="737"/>
      <c r="CQ25" s="737"/>
      <c r="CR25" s="737"/>
      <c r="CS25" s="737"/>
      <c r="CT25" s="737"/>
      <c r="CU25" s="40"/>
    </row>
    <row r="26" spans="1:99" ht="15" customHeight="1" x14ac:dyDescent="0.25">
      <c r="A26" s="677" t="str">
        <f>'Пр №1'!B20</f>
        <v>XXXXXXX</v>
      </c>
      <c r="B26" s="677"/>
      <c r="C26" s="677"/>
      <c r="D26" s="677"/>
      <c r="E26" s="677"/>
      <c r="F26" s="677"/>
      <c r="G26" s="677"/>
      <c r="H26" s="677"/>
      <c r="I26" s="677"/>
      <c r="J26" s="677"/>
      <c r="K26" s="677"/>
      <c r="L26" s="677"/>
      <c r="M26" s="677"/>
      <c r="N26" s="677"/>
      <c r="O26" s="677"/>
      <c r="P26" s="677"/>
      <c r="Q26" s="677"/>
      <c r="R26" s="677"/>
      <c r="S26" s="677"/>
      <c r="T26" s="677"/>
      <c r="U26" s="677"/>
      <c r="V26" s="677"/>
      <c r="W26" s="677"/>
      <c r="X26" s="677"/>
      <c r="Y26" s="677"/>
      <c r="Z26" s="677"/>
      <c r="AA26" s="677"/>
      <c r="AB26" s="677"/>
      <c r="AC26" s="677"/>
      <c r="AD26" s="677"/>
      <c r="AE26" s="677"/>
      <c r="AF26" s="677"/>
      <c r="AG26" s="677"/>
      <c r="AH26" s="677"/>
      <c r="AI26" s="677"/>
      <c r="AJ26" s="677"/>
      <c r="AK26" s="677"/>
      <c r="AL26" s="677"/>
      <c r="AM26" s="677"/>
      <c r="AN26" s="677"/>
      <c r="AO26" s="677"/>
      <c r="AP26" s="677"/>
      <c r="AQ26" s="677"/>
      <c r="AR26" s="677"/>
      <c r="AS26" s="677"/>
      <c r="AT26" s="677"/>
      <c r="AU26" s="677"/>
      <c r="AV26" s="677"/>
      <c r="AW26" s="677"/>
      <c r="AX26" s="677"/>
      <c r="AY26" s="677"/>
      <c r="AZ26" s="677"/>
      <c r="BA26" s="677"/>
      <c r="BB26" s="677"/>
      <c r="BC26" s="677"/>
      <c r="BD26" s="677"/>
      <c r="BE26" s="677"/>
      <c r="BF26" s="677"/>
      <c r="BG26" s="677"/>
      <c r="BH26" s="677"/>
      <c r="BI26" s="677"/>
      <c r="BJ26" s="677"/>
      <c r="BK26" s="677"/>
      <c r="BL26" s="201"/>
      <c r="BM26" s="694"/>
      <c r="BN26" s="738" t="s">
        <v>115</v>
      </c>
      <c r="BO26" s="738"/>
      <c r="BP26" s="738"/>
      <c r="BQ26" s="738"/>
      <c r="BR26" s="738"/>
      <c r="BS26" s="738"/>
      <c r="BT26" s="738"/>
      <c r="BU26" s="738"/>
      <c r="BV26" s="738"/>
      <c r="BW26" s="738"/>
      <c r="BX26" s="738"/>
      <c r="BY26" s="738"/>
      <c r="BZ26" s="738"/>
      <c r="CA26" s="738"/>
      <c r="CB26" s="738"/>
      <c r="CC26" s="738"/>
      <c r="CD26" s="738"/>
      <c r="CE26" s="738"/>
      <c r="CF26" s="738"/>
      <c r="CG26" s="738"/>
      <c r="CH26" s="738"/>
      <c r="CI26" s="738"/>
      <c r="CJ26" s="738"/>
      <c r="CK26" s="738"/>
      <c r="CL26" s="738"/>
      <c r="CM26" s="738"/>
      <c r="CN26" s="738"/>
      <c r="CO26" s="738"/>
      <c r="CP26" s="738"/>
      <c r="CQ26" s="738"/>
      <c r="CR26" s="738"/>
      <c r="CS26" s="738"/>
      <c r="CT26" s="738"/>
      <c r="CU26" s="40"/>
    </row>
    <row r="27" spans="1:99" x14ac:dyDescent="0.25">
      <c r="A27" s="204" t="s">
        <v>113</v>
      </c>
      <c r="B27" s="201"/>
      <c r="C27" s="201"/>
      <c r="D27" s="201"/>
      <c r="E27" s="201"/>
      <c r="F27" s="689" t="e">
        <f ca="1">BN23</f>
        <v>#NAME?</v>
      </c>
      <c r="G27" s="689"/>
      <c r="H27" s="689"/>
      <c r="I27" s="689"/>
      <c r="J27" s="689"/>
      <c r="K27" s="689"/>
      <c r="L27" s="689"/>
      <c r="M27" s="689"/>
      <c r="N27" s="689"/>
      <c r="O27" s="689"/>
      <c r="P27" s="689"/>
      <c r="Q27" s="689"/>
      <c r="R27" s="689"/>
      <c r="S27" s="689"/>
      <c r="T27" s="689"/>
      <c r="U27" s="689"/>
      <c r="V27" s="689"/>
      <c r="W27" s="689"/>
      <c r="X27" s="689"/>
      <c r="Y27" s="689"/>
      <c r="Z27" s="689"/>
      <c r="AA27" s="689"/>
      <c r="AB27" s="689"/>
      <c r="AC27" s="689"/>
      <c r="AD27" s="689"/>
      <c r="AE27" s="689"/>
      <c r="AF27" s="689"/>
      <c r="AG27" s="689"/>
      <c r="AH27" s="689"/>
      <c r="AI27" s="689"/>
      <c r="AJ27" s="689"/>
      <c r="AK27" s="689"/>
      <c r="AL27" s="689"/>
      <c r="AM27" s="689"/>
      <c r="AN27" s="689"/>
      <c r="AO27" s="689"/>
      <c r="AP27" s="689"/>
      <c r="AQ27" s="689"/>
      <c r="AR27" s="689"/>
      <c r="AS27" s="689"/>
      <c r="AT27" s="689"/>
      <c r="AU27" s="689"/>
      <c r="AV27" s="689"/>
      <c r="AW27" s="689"/>
      <c r="AX27" s="689"/>
      <c r="AY27" s="689"/>
      <c r="AZ27" s="689"/>
      <c r="BA27" s="689"/>
      <c r="BB27" s="689"/>
      <c r="BC27" s="689"/>
      <c r="BD27" s="689"/>
      <c r="BE27" s="689"/>
      <c r="BF27" s="689"/>
      <c r="BG27" s="689"/>
      <c r="BH27" s="689"/>
      <c r="BI27" s="689"/>
      <c r="BJ27" s="689"/>
      <c r="BK27" s="689"/>
      <c r="BL27" s="201"/>
      <c r="BM27" s="694"/>
      <c r="BN27" s="201"/>
      <c r="BO27" s="201"/>
      <c r="BP27" s="204" t="s">
        <v>116</v>
      </c>
      <c r="BQ27" s="201"/>
      <c r="BR27" s="201"/>
      <c r="BS27" s="201"/>
      <c r="BT27" s="201"/>
      <c r="BU27" s="201"/>
      <c r="BV27" s="201"/>
      <c r="BW27" s="201"/>
      <c r="BX27" s="677"/>
      <c r="BY27" s="677"/>
      <c r="BZ27" s="677"/>
      <c r="CA27" s="677"/>
      <c r="CB27" s="677"/>
      <c r="CC27" s="677"/>
      <c r="CD27" s="677"/>
      <c r="CE27" s="677"/>
      <c r="CF27" s="677"/>
      <c r="CG27" s="677"/>
      <c r="CH27" s="677"/>
      <c r="CI27" s="677"/>
      <c r="CJ27" s="677"/>
      <c r="CK27" s="677"/>
      <c r="CL27" s="677"/>
      <c r="CM27" s="677"/>
      <c r="CN27" s="677"/>
      <c r="CO27" s="677"/>
      <c r="CP27" s="677"/>
      <c r="CQ27" s="677"/>
      <c r="CR27" s="677"/>
      <c r="CS27" s="677"/>
      <c r="CT27" s="677"/>
      <c r="CU27" s="40"/>
    </row>
    <row r="28" spans="1:99" s="34" customFormat="1" ht="15" customHeight="1" x14ac:dyDescent="0.25">
      <c r="A28" s="202"/>
      <c r="B28" s="202"/>
      <c r="C28" s="202"/>
      <c r="D28" s="202"/>
      <c r="E28" s="202"/>
      <c r="F28" s="697" t="s">
        <v>115</v>
      </c>
      <c r="G28" s="697"/>
      <c r="H28" s="697"/>
      <c r="I28" s="697"/>
      <c r="J28" s="697"/>
      <c r="K28" s="697"/>
      <c r="L28" s="697"/>
      <c r="M28" s="697"/>
      <c r="N28" s="697"/>
      <c r="O28" s="697"/>
      <c r="P28" s="697"/>
      <c r="Q28" s="697"/>
      <c r="R28" s="697"/>
      <c r="S28" s="697"/>
      <c r="T28" s="697"/>
      <c r="U28" s="697"/>
      <c r="V28" s="697"/>
      <c r="W28" s="697"/>
      <c r="X28" s="697"/>
      <c r="Y28" s="697"/>
      <c r="Z28" s="697"/>
      <c r="AA28" s="697"/>
      <c r="AB28" s="697"/>
      <c r="AC28" s="697"/>
      <c r="AD28" s="697"/>
      <c r="AE28" s="697"/>
      <c r="AF28" s="697"/>
      <c r="AG28" s="697"/>
      <c r="AH28" s="697"/>
      <c r="AI28" s="697"/>
      <c r="AJ28" s="697"/>
      <c r="AK28" s="697"/>
      <c r="AL28" s="697"/>
      <c r="AM28" s="697"/>
      <c r="AN28" s="697"/>
      <c r="AO28" s="697"/>
      <c r="AP28" s="697"/>
      <c r="AQ28" s="697"/>
      <c r="AR28" s="697"/>
      <c r="AS28" s="697"/>
      <c r="AT28" s="697"/>
      <c r="AU28" s="697"/>
      <c r="AV28" s="697"/>
      <c r="AW28" s="697"/>
      <c r="AX28" s="697"/>
      <c r="AY28" s="697"/>
      <c r="AZ28" s="697"/>
      <c r="BA28" s="697"/>
      <c r="BB28" s="697"/>
      <c r="BC28" s="697"/>
      <c r="BD28" s="697"/>
      <c r="BE28" s="697"/>
      <c r="BF28" s="697"/>
      <c r="BG28" s="697"/>
      <c r="BH28" s="697"/>
      <c r="BI28" s="697"/>
      <c r="BJ28" s="697"/>
      <c r="BK28" s="697"/>
      <c r="BL28" s="202"/>
      <c r="BM28" s="694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  <c r="CF28" s="202"/>
      <c r="CG28" s="202"/>
      <c r="CH28" s="202"/>
      <c r="CI28" s="202"/>
      <c r="CJ28" s="202"/>
      <c r="CK28" s="202"/>
      <c r="CL28" s="202"/>
      <c r="CM28" s="202"/>
      <c r="CN28" s="202"/>
      <c r="CO28" s="202"/>
      <c r="CP28" s="202"/>
      <c r="CQ28" s="202"/>
      <c r="CR28" s="202"/>
      <c r="CS28" s="202"/>
      <c r="CT28" s="202"/>
      <c r="CU28" s="41"/>
    </row>
    <row r="29" spans="1:99" x14ac:dyDescent="0.25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Y29" s="677"/>
      <c r="Z29" s="677"/>
      <c r="AA29" s="677"/>
      <c r="AB29" s="677"/>
      <c r="AC29" s="677"/>
      <c r="AD29" s="677"/>
      <c r="AE29" s="677"/>
      <c r="AF29" s="677"/>
      <c r="AG29" s="677"/>
      <c r="AH29" s="677"/>
      <c r="AI29" s="677"/>
      <c r="AJ29" s="677"/>
      <c r="AK29" s="677"/>
      <c r="AL29" s="677"/>
      <c r="AM29" s="677"/>
      <c r="AN29" s="677"/>
      <c r="AO29" s="677"/>
      <c r="AP29" s="677"/>
      <c r="AQ29" s="677"/>
      <c r="AR29" s="204"/>
      <c r="AS29" s="201"/>
      <c r="AT29" s="201"/>
      <c r="AU29" s="677"/>
      <c r="AV29" s="677"/>
      <c r="AW29" s="677"/>
      <c r="AX29" s="677"/>
      <c r="AY29" s="677"/>
      <c r="AZ29" s="677"/>
      <c r="BA29" s="677"/>
      <c r="BB29" s="677"/>
      <c r="BC29" s="677"/>
      <c r="BD29" s="677"/>
      <c r="BE29" s="677"/>
      <c r="BF29" s="677"/>
      <c r="BG29" s="677"/>
      <c r="BH29" s="677"/>
      <c r="BI29" s="204"/>
      <c r="BJ29" s="201"/>
      <c r="BK29" s="201"/>
      <c r="BL29" s="201"/>
      <c r="BM29" s="694"/>
      <c r="BN29" s="201"/>
      <c r="BO29" s="201"/>
      <c r="BP29" s="201" t="s">
        <v>117</v>
      </c>
      <c r="BQ29" s="677">
        <f ca="1">BS12</f>
        <v>9</v>
      </c>
      <c r="BR29" s="677"/>
      <c r="BS29" s="201" t="s">
        <v>23</v>
      </c>
      <c r="BT29" s="677" t="str">
        <f ca="1">BV12</f>
        <v>Январь</v>
      </c>
      <c r="BU29" s="677"/>
      <c r="BV29" s="677"/>
      <c r="BW29" s="677"/>
      <c r="BX29" s="677"/>
      <c r="BY29" s="677"/>
      <c r="BZ29" s="677"/>
      <c r="CA29" s="677"/>
      <c r="CB29" s="677"/>
      <c r="CC29" s="677"/>
      <c r="CD29" s="201"/>
      <c r="CE29" s="677">
        <f ca="1">CG12</f>
        <v>2026</v>
      </c>
      <c r="CF29" s="677"/>
      <c r="CG29" s="677"/>
      <c r="CH29" s="677"/>
      <c r="CI29" s="204" t="s">
        <v>94</v>
      </c>
      <c r="CJ29" s="201"/>
      <c r="CK29" s="201"/>
      <c r="CL29" s="201"/>
      <c r="CM29" s="201"/>
      <c r="CN29" s="201"/>
      <c r="CO29" s="201"/>
      <c r="CP29" s="201"/>
      <c r="CQ29" s="201"/>
      <c r="CR29" s="201"/>
      <c r="CS29" s="201"/>
      <c r="CT29" s="201"/>
      <c r="CU29" s="40"/>
    </row>
    <row r="30" spans="1:99" x14ac:dyDescent="0.25">
      <c r="A30" s="699" t="s">
        <v>116</v>
      </c>
      <c r="B30" s="699"/>
      <c r="C30" s="699"/>
      <c r="D30" s="699"/>
      <c r="E30" s="699"/>
      <c r="F30" s="699"/>
      <c r="G30" s="699"/>
      <c r="H30" s="699"/>
      <c r="I30" s="699"/>
      <c r="J30" s="699"/>
      <c r="K30" s="206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77"/>
      <c r="AB30" s="677"/>
      <c r="AC30" s="677"/>
      <c r="AD30" s="677"/>
      <c r="AE30" s="677"/>
      <c r="AF30" s="677"/>
      <c r="AG30" s="677"/>
      <c r="AH30" s="677"/>
      <c r="AI30" s="677"/>
      <c r="AJ30" s="677"/>
      <c r="AK30" s="677"/>
      <c r="AL30" s="677"/>
      <c r="AM30" s="677"/>
      <c r="AN30" s="677"/>
      <c r="AO30" s="677"/>
      <c r="AP30" s="677"/>
      <c r="AQ30" s="677"/>
      <c r="AR30" s="677"/>
      <c r="AS30" s="677"/>
      <c r="AT30" s="677"/>
      <c r="AU30" s="677"/>
      <c r="AV30" s="677"/>
      <c r="AW30" s="677"/>
      <c r="AX30" s="677"/>
      <c r="AY30" s="677"/>
      <c r="AZ30" s="677"/>
      <c r="BA30" s="677"/>
      <c r="BB30" s="677"/>
      <c r="BC30" s="677"/>
      <c r="BD30" s="677"/>
      <c r="BE30" s="677"/>
      <c r="BF30" s="677"/>
      <c r="BG30" s="677"/>
      <c r="BH30" s="677"/>
      <c r="BI30" s="677"/>
      <c r="BJ30" s="677"/>
      <c r="BK30" s="677"/>
      <c r="BL30" s="201"/>
      <c r="BM30" s="694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/>
      <c r="BY30" s="201"/>
      <c r="BZ30" s="201"/>
      <c r="CA30" s="201"/>
      <c r="CB30" s="201"/>
      <c r="CC30" s="201"/>
      <c r="CD30" s="201"/>
      <c r="CE30" s="201"/>
      <c r="CF30" s="201"/>
      <c r="CG30" s="201"/>
      <c r="CH30" s="201"/>
      <c r="CI30" s="201"/>
      <c r="CJ30" s="201"/>
      <c r="CK30" s="201"/>
      <c r="CL30" s="201"/>
      <c r="CM30" s="201"/>
      <c r="CN30" s="201"/>
      <c r="CO30" s="201"/>
      <c r="CP30" s="201"/>
      <c r="CQ30" s="201"/>
      <c r="CR30" s="201"/>
      <c r="CS30" s="201"/>
      <c r="CT30" s="201"/>
      <c r="CU30" s="40"/>
    </row>
    <row r="31" spans="1:99" x14ac:dyDescent="0.25">
      <c r="A31" s="698" t="s">
        <v>118</v>
      </c>
      <c r="B31" s="698"/>
      <c r="C31" s="698"/>
      <c r="D31" s="698"/>
      <c r="E31" s="698"/>
      <c r="F31" s="698"/>
      <c r="G31" s="698"/>
      <c r="H31" s="698"/>
      <c r="I31" s="698"/>
      <c r="J31" s="698"/>
      <c r="K31" s="207"/>
      <c r="L31" s="689"/>
      <c r="M31" s="689"/>
      <c r="N31" s="689"/>
      <c r="O31" s="689"/>
      <c r="P31" s="689"/>
      <c r="Q31" s="689"/>
      <c r="R31" s="689"/>
      <c r="S31" s="689"/>
      <c r="T31" s="689"/>
      <c r="U31" s="689"/>
      <c r="V31" s="689"/>
      <c r="W31" s="689"/>
      <c r="X31" s="689"/>
      <c r="Y31" s="689"/>
      <c r="Z31" s="689"/>
      <c r="AA31" s="689"/>
      <c r="AB31" s="689"/>
      <c r="AC31" s="689"/>
      <c r="AD31" s="689"/>
      <c r="AE31" s="689"/>
      <c r="AF31" s="689"/>
      <c r="AG31" s="689"/>
      <c r="AH31" s="689"/>
      <c r="AI31" s="689"/>
      <c r="AJ31" s="689"/>
      <c r="AK31" s="689"/>
      <c r="AL31" s="689"/>
      <c r="AM31" s="689"/>
      <c r="AN31" s="689"/>
      <c r="AO31" s="689"/>
      <c r="AP31" s="689"/>
      <c r="AQ31" s="689"/>
      <c r="AR31" s="689"/>
      <c r="AS31" s="689"/>
      <c r="AT31" s="689"/>
      <c r="AU31" s="689"/>
      <c r="AV31" s="689"/>
      <c r="AW31" s="689"/>
      <c r="AX31" s="689"/>
      <c r="AY31" s="689"/>
      <c r="AZ31" s="689"/>
      <c r="BA31" s="689"/>
      <c r="BB31" s="689"/>
      <c r="BC31" s="689"/>
      <c r="BD31" s="689"/>
      <c r="BE31" s="689"/>
      <c r="BF31" s="689"/>
      <c r="BG31" s="689"/>
      <c r="BH31" s="689"/>
      <c r="BI31" s="689"/>
      <c r="BJ31" s="689"/>
      <c r="BK31" s="689"/>
      <c r="BL31" s="201"/>
      <c r="BM31" s="694"/>
      <c r="BN31" s="698" t="s">
        <v>119</v>
      </c>
      <c r="BO31" s="698"/>
      <c r="BP31" s="698"/>
      <c r="BQ31" s="698"/>
      <c r="BR31" s="698"/>
      <c r="BS31" s="698"/>
      <c r="BT31" s="698"/>
      <c r="BU31" s="698"/>
      <c r="BV31" s="698"/>
      <c r="BW31" s="698"/>
      <c r="BX31" s="698"/>
      <c r="BY31" s="698"/>
      <c r="BZ31" s="698"/>
      <c r="CA31" s="698"/>
      <c r="CB31" s="698"/>
      <c r="CC31" s="698"/>
      <c r="CD31" s="698"/>
      <c r="CE31" s="201"/>
      <c r="CF31" s="201"/>
      <c r="CG31" s="201"/>
      <c r="CH31" s="201"/>
      <c r="CI31" s="201"/>
      <c r="CJ31" s="201"/>
      <c r="CK31" s="201"/>
      <c r="CL31" s="201"/>
      <c r="CM31" s="201"/>
      <c r="CN31" s="201"/>
      <c r="CO31" s="201"/>
      <c r="CP31" s="201"/>
      <c r="CQ31" s="201"/>
      <c r="CR31" s="201"/>
      <c r="CS31" s="201"/>
      <c r="CT31" s="201"/>
      <c r="CU31" s="40"/>
    </row>
    <row r="32" spans="1:99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1"/>
      <c r="BK32" s="201"/>
      <c r="BL32" s="201"/>
      <c r="BM32" s="694"/>
      <c r="BN32" s="201"/>
      <c r="BO32" s="201"/>
      <c r="BP32" s="201"/>
      <c r="BQ32" s="201"/>
      <c r="BR32" s="201"/>
      <c r="BS32" s="201"/>
      <c r="BT32" s="201"/>
      <c r="BU32" s="201"/>
      <c r="BV32" s="201"/>
      <c r="BW32" s="201"/>
      <c r="BX32" s="201"/>
      <c r="BY32" s="201"/>
      <c r="BZ32" s="201"/>
      <c r="CA32" s="201"/>
      <c r="CB32" s="201"/>
      <c r="CC32" s="201"/>
      <c r="CD32" s="201"/>
      <c r="CE32" s="201"/>
      <c r="CF32" s="201"/>
      <c r="CG32" s="201"/>
      <c r="CH32" s="201"/>
      <c r="CI32" s="201"/>
      <c r="CJ32" s="201"/>
      <c r="CK32" s="201"/>
      <c r="CL32" s="201"/>
      <c r="CM32" s="201"/>
      <c r="CN32" s="201"/>
      <c r="CO32" s="201"/>
      <c r="CP32" s="201"/>
      <c r="CQ32" s="201"/>
      <c r="CR32" s="201"/>
      <c r="CS32" s="201"/>
      <c r="CT32" s="201"/>
      <c r="CU32" s="40"/>
    </row>
    <row r="33" spans="1:99" x14ac:dyDescent="0.25">
      <c r="A33" s="698" t="s">
        <v>120</v>
      </c>
      <c r="B33" s="698"/>
      <c r="C33" s="698"/>
      <c r="D33" s="698"/>
      <c r="E33" s="698"/>
      <c r="F33" s="698"/>
      <c r="G33" s="698"/>
      <c r="H33" s="698"/>
      <c r="I33" s="698"/>
      <c r="J33" s="698"/>
      <c r="K33" s="698"/>
      <c r="L33" s="698"/>
      <c r="M33" s="698"/>
      <c r="N33" s="698"/>
      <c r="O33" s="206"/>
      <c r="P33" s="206"/>
      <c r="Q33" s="206"/>
      <c r="R33" s="206"/>
      <c r="S33" s="206"/>
      <c r="T33" s="206"/>
      <c r="U33" s="206"/>
      <c r="V33" s="206"/>
      <c r="W33" s="206"/>
      <c r="X33" s="201"/>
      <c r="Y33" s="201"/>
      <c r="Z33" s="677" t="str">
        <f>Дог.!A67</f>
        <v>З. М.</v>
      </c>
      <c r="AA33" s="677"/>
      <c r="AB33" s="677"/>
      <c r="AC33" s="677"/>
      <c r="AD33" s="677"/>
      <c r="AE33" s="677"/>
      <c r="AF33" s="677"/>
      <c r="AG33" s="677"/>
      <c r="AH33" s="677"/>
      <c r="AI33" s="677"/>
      <c r="AJ33" s="677"/>
      <c r="AK33" s="677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  <c r="BM33" s="694"/>
      <c r="BN33" s="698" t="s">
        <v>120</v>
      </c>
      <c r="BO33" s="698"/>
      <c r="BP33" s="698"/>
      <c r="BQ33" s="698"/>
      <c r="BR33" s="698"/>
      <c r="BS33" s="698"/>
      <c r="BT33" s="698"/>
      <c r="BU33" s="698"/>
      <c r="BV33" s="698"/>
      <c r="BW33" s="698"/>
      <c r="BX33" s="698"/>
      <c r="BY33" s="698"/>
      <c r="BZ33" s="698"/>
      <c r="CA33" s="698"/>
      <c r="CB33" s="677"/>
      <c r="CC33" s="677"/>
      <c r="CD33" s="677"/>
      <c r="CE33" s="677"/>
      <c r="CF33" s="677"/>
      <c r="CG33" s="677"/>
      <c r="CH33" s="677"/>
      <c r="CI33" s="677"/>
      <c r="CJ33" s="201"/>
      <c r="CK33" s="677" t="str">
        <f>Z33</f>
        <v>З. М.</v>
      </c>
      <c r="CL33" s="677"/>
      <c r="CM33" s="677"/>
      <c r="CN33" s="677"/>
      <c r="CO33" s="677"/>
      <c r="CP33" s="677"/>
      <c r="CQ33" s="677"/>
      <c r="CR33" s="677"/>
      <c r="CS33" s="677"/>
      <c r="CT33" s="677"/>
      <c r="CU33" s="40"/>
    </row>
    <row r="34" spans="1:99" s="34" customFormat="1" ht="15" customHeight="1" x14ac:dyDescent="0.25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720" t="s">
        <v>63</v>
      </c>
      <c r="O34" s="720"/>
      <c r="P34" s="720"/>
      <c r="Q34" s="720"/>
      <c r="R34" s="720"/>
      <c r="S34" s="720"/>
      <c r="T34" s="720"/>
      <c r="U34" s="720"/>
      <c r="V34" s="720"/>
      <c r="W34" s="720"/>
      <c r="X34" s="202"/>
      <c r="Y34" s="202"/>
      <c r="Z34" s="697" t="s">
        <v>121</v>
      </c>
      <c r="AA34" s="697"/>
      <c r="AB34" s="697"/>
      <c r="AC34" s="697"/>
      <c r="AD34" s="697"/>
      <c r="AE34" s="697"/>
      <c r="AF34" s="697"/>
      <c r="AG34" s="697"/>
      <c r="AH34" s="697"/>
      <c r="AI34" s="697"/>
      <c r="AJ34" s="697"/>
      <c r="AK34" s="697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694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720" t="s">
        <v>63</v>
      </c>
      <c r="CC34" s="720"/>
      <c r="CD34" s="720"/>
      <c r="CE34" s="720"/>
      <c r="CF34" s="720"/>
      <c r="CG34" s="720"/>
      <c r="CH34" s="720"/>
      <c r="CI34" s="720"/>
      <c r="CJ34" s="202"/>
      <c r="CK34" s="720" t="s">
        <v>121</v>
      </c>
      <c r="CL34" s="720"/>
      <c r="CM34" s="720"/>
      <c r="CN34" s="720"/>
      <c r="CO34" s="720"/>
      <c r="CP34" s="720"/>
      <c r="CQ34" s="720"/>
      <c r="CR34" s="720"/>
      <c r="CS34" s="720"/>
      <c r="CT34" s="720"/>
      <c r="CU34" s="41"/>
    </row>
    <row r="35" spans="1:99" s="35" customFormat="1" ht="15" customHeight="1" x14ac:dyDescent="0.15">
      <c r="A35" s="208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208"/>
      <c r="BI35" s="208"/>
      <c r="BJ35" s="208"/>
      <c r="BK35" s="208"/>
      <c r="BL35" s="208"/>
      <c r="BM35" s="694"/>
      <c r="BN35" s="208"/>
      <c r="BO35" s="208"/>
      <c r="BP35" s="208"/>
      <c r="BQ35" s="208"/>
      <c r="BR35" s="208"/>
      <c r="BS35" s="208"/>
      <c r="BT35" s="208"/>
      <c r="BU35" s="208"/>
      <c r="BV35" s="208"/>
      <c r="BW35" s="208"/>
      <c r="BX35" s="208"/>
      <c r="BY35" s="208"/>
      <c r="BZ35" s="208"/>
      <c r="CA35" s="208"/>
      <c r="CB35" s="208"/>
      <c r="CC35" s="208"/>
      <c r="CD35" s="208"/>
      <c r="CE35" s="208"/>
      <c r="CF35" s="208"/>
      <c r="CG35" s="208"/>
      <c r="CH35" s="208"/>
      <c r="CI35" s="208"/>
      <c r="CJ35" s="208"/>
      <c r="CK35" s="208"/>
      <c r="CL35" s="208"/>
      <c r="CM35" s="208"/>
      <c r="CN35" s="208"/>
      <c r="CO35" s="208"/>
      <c r="CP35" s="208"/>
      <c r="CQ35" s="208"/>
      <c r="CR35" s="208"/>
      <c r="CS35" s="208"/>
      <c r="CT35" s="208"/>
      <c r="CU35" s="43"/>
    </row>
    <row r="36" spans="1:99" x14ac:dyDescent="0.25">
      <c r="A36" s="698" t="s">
        <v>122</v>
      </c>
      <c r="B36" s="698"/>
      <c r="C36" s="69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201"/>
      <c r="Y36" s="201"/>
      <c r="Z36" s="677" t="s">
        <v>543</v>
      </c>
      <c r="AA36" s="677"/>
      <c r="AB36" s="677"/>
      <c r="AC36" s="677"/>
      <c r="AD36" s="677"/>
      <c r="AE36" s="677"/>
      <c r="AF36" s="677"/>
      <c r="AG36" s="677"/>
      <c r="AH36" s="677"/>
      <c r="AI36" s="677"/>
      <c r="AJ36" s="677"/>
      <c r="AK36" s="677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  <c r="BM36" s="694"/>
      <c r="BN36" s="201"/>
      <c r="BO36" s="201"/>
      <c r="BP36" s="204" t="s">
        <v>123</v>
      </c>
      <c r="BQ36" s="201"/>
      <c r="BR36" s="201"/>
      <c r="BS36" s="201"/>
      <c r="BT36" s="201"/>
      <c r="BU36" s="677"/>
      <c r="BV36" s="677"/>
      <c r="BW36" s="677"/>
      <c r="BX36" s="677"/>
      <c r="BY36" s="677"/>
      <c r="BZ36" s="677"/>
      <c r="CA36" s="677"/>
      <c r="CB36" s="677"/>
      <c r="CC36" s="677"/>
      <c r="CD36" s="677"/>
      <c r="CE36" s="201"/>
      <c r="CF36" s="201"/>
      <c r="CG36" s="677" t="str">
        <f>Z36</f>
        <v>Купрей А. А.</v>
      </c>
      <c r="CH36" s="677"/>
      <c r="CI36" s="677"/>
      <c r="CJ36" s="677"/>
      <c r="CK36" s="677"/>
      <c r="CL36" s="677"/>
      <c r="CM36" s="677"/>
      <c r="CN36" s="677"/>
      <c r="CO36" s="677"/>
      <c r="CP36" s="677"/>
      <c r="CQ36" s="677"/>
      <c r="CR36" s="677"/>
      <c r="CS36" s="201"/>
      <c r="CT36" s="201"/>
      <c r="CU36" s="40"/>
    </row>
    <row r="37" spans="1:99" s="34" customFormat="1" ht="15" customHeight="1" x14ac:dyDescent="0.25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720" t="s">
        <v>63</v>
      </c>
      <c r="O37" s="720"/>
      <c r="P37" s="720"/>
      <c r="Q37" s="720"/>
      <c r="R37" s="720"/>
      <c r="S37" s="720"/>
      <c r="T37" s="720"/>
      <c r="U37" s="720"/>
      <c r="V37" s="720"/>
      <c r="W37" s="720"/>
      <c r="X37" s="202"/>
      <c r="Y37" s="202"/>
      <c r="Z37" s="697" t="s">
        <v>121</v>
      </c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694"/>
      <c r="BN37" s="202"/>
      <c r="BO37" s="202"/>
      <c r="BP37" s="202"/>
      <c r="BQ37" s="202"/>
      <c r="BR37" s="202"/>
      <c r="BS37" s="202"/>
      <c r="BT37" s="202"/>
      <c r="BU37" s="720" t="s">
        <v>63</v>
      </c>
      <c r="BV37" s="720"/>
      <c r="BW37" s="720"/>
      <c r="BX37" s="720"/>
      <c r="BY37" s="720"/>
      <c r="BZ37" s="720"/>
      <c r="CA37" s="720"/>
      <c r="CB37" s="720"/>
      <c r="CC37" s="720"/>
      <c r="CD37" s="720"/>
      <c r="CE37" s="202"/>
      <c r="CF37" s="202"/>
      <c r="CG37" s="697" t="s">
        <v>121</v>
      </c>
      <c r="CH37" s="697"/>
      <c r="CI37" s="697"/>
      <c r="CJ37" s="697"/>
      <c r="CK37" s="697"/>
      <c r="CL37" s="697"/>
      <c r="CM37" s="697"/>
      <c r="CN37" s="697"/>
      <c r="CO37" s="697"/>
      <c r="CP37" s="697"/>
      <c r="CQ37" s="697"/>
      <c r="CR37" s="697"/>
      <c r="CS37" s="202"/>
      <c r="CT37" s="202"/>
      <c r="CU37" s="41"/>
    </row>
    <row r="38" spans="1:99" ht="15.75" thickBot="1" x14ac:dyDescent="0.3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695"/>
      <c r="BN38" s="209"/>
      <c r="BO38" s="209"/>
      <c r="BP38" s="209"/>
      <c r="BQ38" s="209"/>
      <c r="BR38" s="209"/>
      <c r="BS38" s="209"/>
      <c r="BT38" s="209"/>
      <c r="BU38" s="209"/>
      <c r="BV38" s="209"/>
      <c r="BW38" s="209"/>
      <c r="BX38" s="209"/>
      <c r="BY38" s="209"/>
      <c r="BZ38" s="209"/>
      <c r="CA38" s="209"/>
      <c r="CB38" s="209"/>
      <c r="CC38" s="209"/>
      <c r="CD38" s="209"/>
      <c r="CE38" s="209"/>
      <c r="CF38" s="209"/>
      <c r="CG38" s="209"/>
      <c r="CH38" s="209"/>
      <c r="CI38" s="209"/>
      <c r="CJ38" s="209"/>
      <c r="CK38" s="209"/>
      <c r="CL38" s="209"/>
      <c r="CM38" s="209"/>
      <c r="CN38" s="209"/>
      <c r="CO38" s="209"/>
      <c r="CP38" s="209"/>
      <c r="CQ38" s="209"/>
      <c r="CR38" s="209"/>
      <c r="CS38" s="209"/>
      <c r="CT38" s="209"/>
      <c r="CU38" s="40"/>
    </row>
  </sheetData>
  <mergeCells count="122">
    <mergeCell ref="AP1:BL1"/>
    <mergeCell ref="BU21:CL21"/>
    <mergeCell ref="CM21:CN21"/>
    <mergeCell ref="BU22:CL22"/>
    <mergeCell ref="F28:BK28"/>
    <mergeCell ref="A29:AQ29"/>
    <mergeCell ref="AU29:BH29"/>
    <mergeCell ref="BQ29:BR29"/>
    <mergeCell ref="A21:F21"/>
    <mergeCell ref="G21:K21"/>
    <mergeCell ref="L21:T21"/>
    <mergeCell ref="U21:AC21"/>
    <mergeCell ref="AD21:AL21"/>
    <mergeCell ref="AM21:AV21"/>
    <mergeCell ref="BN23:CT25"/>
    <mergeCell ref="BN26:CT26"/>
    <mergeCell ref="CO21:CT21"/>
    <mergeCell ref="A25:H25"/>
    <mergeCell ref="A19:F19"/>
    <mergeCell ref="G19:K19"/>
    <mergeCell ref="L19:T19"/>
    <mergeCell ref="U19:AC19"/>
    <mergeCell ref="AD19:AL19"/>
    <mergeCell ref="AZ6:BK6"/>
    <mergeCell ref="AZ7:BK7"/>
    <mergeCell ref="AW18:BE18"/>
    <mergeCell ref="BF18:BK18"/>
    <mergeCell ref="A8:AQ8"/>
    <mergeCell ref="AZ8:BK8"/>
    <mergeCell ref="A9:AQ9"/>
    <mergeCell ref="BW16:CT16"/>
    <mergeCell ref="N37:W37"/>
    <mergeCell ref="Z37:AK37"/>
    <mergeCell ref="BU37:CD37"/>
    <mergeCell ref="Z33:AK33"/>
    <mergeCell ref="CB33:CI33"/>
    <mergeCell ref="CG37:CR37"/>
    <mergeCell ref="N34:W34"/>
    <mergeCell ref="Z34:AK34"/>
    <mergeCell ref="CB34:CI34"/>
    <mergeCell ref="CK34:CT34"/>
    <mergeCell ref="N36:W36"/>
    <mergeCell ref="Z36:AK36"/>
    <mergeCell ref="BU36:CD36"/>
    <mergeCell ref="CG36:CR36"/>
    <mergeCell ref="CK33:CT33"/>
    <mergeCell ref="BN33:CA33"/>
    <mergeCell ref="F27:BK27"/>
    <mergeCell ref="BP1:CT1"/>
    <mergeCell ref="BP2:CT2"/>
    <mergeCell ref="CJ10:CK10"/>
    <mergeCell ref="BP3:CT3"/>
    <mergeCell ref="BP4:CT4"/>
    <mergeCell ref="BP6:CT7"/>
    <mergeCell ref="BN10:CF10"/>
    <mergeCell ref="CG10:CI10"/>
    <mergeCell ref="CL10:CO10"/>
    <mergeCell ref="CP10:CS10"/>
    <mergeCell ref="AZ9:BK10"/>
    <mergeCell ref="A10:AX10"/>
    <mergeCell ref="AW17:BE17"/>
    <mergeCell ref="BF17:BK17"/>
    <mergeCell ref="BB14:BK14"/>
    <mergeCell ref="BB15:BK15"/>
    <mergeCell ref="BP19:CT19"/>
    <mergeCell ref="CG12:CJ12"/>
    <mergeCell ref="AM18:AV18"/>
    <mergeCell ref="BP16:BV16"/>
    <mergeCell ref="BP17:CT17"/>
    <mergeCell ref="BX14:CT14"/>
    <mergeCell ref="BP15:CT15"/>
    <mergeCell ref="AM19:AV19"/>
    <mergeCell ref="BF19:BK19"/>
    <mergeCell ref="AW19:BE19"/>
    <mergeCell ref="AZ15:BA15"/>
    <mergeCell ref="BX27:CT27"/>
    <mergeCell ref="AW21:BE21"/>
    <mergeCell ref="BF21:BK21"/>
    <mergeCell ref="BP18:CT18"/>
    <mergeCell ref="BM1:BM38"/>
    <mergeCell ref="AR3:BD3"/>
    <mergeCell ref="A11:AX11"/>
    <mergeCell ref="BS12:BT12"/>
    <mergeCell ref="BV12:CE12"/>
    <mergeCell ref="A36:M36"/>
    <mergeCell ref="A33:N33"/>
    <mergeCell ref="BT29:CC29"/>
    <mergeCell ref="CE29:CH29"/>
    <mergeCell ref="BN31:CD31"/>
    <mergeCell ref="A30:J30"/>
    <mergeCell ref="A31:J31"/>
    <mergeCell ref="L30:BK30"/>
    <mergeCell ref="L31:BK31"/>
    <mergeCell ref="W2:BL2"/>
    <mergeCell ref="A17:F17"/>
    <mergeCell ref="G17:AL17"/>
    <mergeCell ref="AM17:AV17"/>
    <mergeCell ref="A23:H24"/>
    <mergeCell ref="I23:BK24"/>
    <mergeCell ref="A26:BK26"/>
    <mergeCell ref="A20:F20"/>
    <mergeCell ref="G20:K20"/>
    <mergeCell ref="L20:T20"/>
    <mergeCell ref="AJ13:BA14"/>
    <mergeCell ref="A14:AI14"/>
    <mergeCell ref="AU15:AY15"/>
    <mergeCell ref="AQ15:AT15"/>
    <mergeCell ref="AN15:AP15"/>
    <mergeCell ref="AJ15:AM15"/>
    <mergeCell ref="BB13:BK13"/>
    <mergeCell ref="A18:F18"/>
    <mergeCell ref="G18:K18"/>
    <mergeCell ref="L18:T18"/>
    <mergeCell ref="U18:AC18"/>
    <mergeCell ref="AD18:AL18"/>
    <mergeCell ref="I25:AH25"/>
    <mergeCell ref="AI25:BK25"/>
    <mergeCell ref="U20:AC20"/>
    <mergeCell ref="AD20:AL20"/>
    <mergeCell ref="AM20:AV20"/>
    <mergeCell ref="AW20:BE20"/>
    <mergeCell ref="BF20:BK20"/>
  </mergeCells>
  <pageMargins left="7.874015748031496E-2" right="7.874015748031496E-2" top="0.23622047244094491" bottom="0.27559055118110237" header="0.23622047244094491" footer="0.31496062992125984"/>
  <pageSetup paperSize="9" scale="69" fitToWidth="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4440-45FA-4F00-AE0E-2F53F68B14B2}">
  <sheetPr>
    <pageSetUpPr fitToPage="1"/>
  </sheetPr>
  <dimension ref="A1:DK35"/>
  <sheetViews>
    <sheetView zoomScale="150" zoomScaleNormal="150" workbookViewId="0">
      <selection activeCell="L22" sqref="L22:DJ22"/>
    </sheetView>
  </sheetViews>
  <sheetFormatPr defaultColWidth="0.85546875" defaultRowHeight="11.25" x14ac:dyDescent="0.2"/>
  <cols>
    <col min="1" max="16384" width="0.85546875" style="195"/>
  </cols>
  <sheetData>
    <row r="1" spans="1:115" x14ac:dyDescent="0.2">
      <c r="A1" s="21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782" t="s">
        <v>623</v>
      </c>
      <c r="BN1" s="782"/>
      <c r="BO1" s="782"/>
      <c r="BP1" s="782"/>
      <c r="BQ1" s="782"/>
      <c r="BR1" s="782"/>
      <c r="BS1" s="782"/>
      <c r="BT1" s="782"/>
      <c r="BU1" s="782"/>
      <c r="BV1" s="782"/>
      <c r="BW1" s="782"/>
      <c r="BX1" s="782"/>
      <c r="BY1" s="782"/>
      <c r="BZ1" s="782"/>
      <c r="CA1" s="782"/>
      <c r="CB1" s="782"/>
      <c r="CC1" s="782"/>
      <c r="CD1" s="782"/>
      <c r="CE1" s="782"/>
      <c r="CF1" s="782"/>
      <c r="CG1" s="782"/>
      <c r="CH1" s="782"/>
      <c r="CI1" s="782"/>
      <c r="CJ1" s="782"/>
      <c r="CK1" s="782"/>
      <c r="CL1" s="782"/>
      <c r="CM1" s="782"/>
      <c r="CN1" s="782"/>
      <c r="CO1" s="782"/>
      <c r="CP1" s="782"/>
      <c r="CQ1" s="782"/>
      <c r="CR1" s="782"/>
      <c r="CS1" s="782"/>
      <c r="CT1" s="782"/>
      <c r="CU1" s="782"/>
      <c r="CV1" s="782"/>
      <c r="CW1" s="782"/>
      <c r="CX1" s="782"/>
      <c r="CY1" s="782"/>
      <c r="CZ1" s="782"/>
      <c r="DA1" s="782"/>
      <c r="DB1" s="782"/>
      <c r="DC1" s="782"/>
      <c r="DD1" s="782"/>
      <c r="DE1" s="782"/>
      <c r="DF1" s="782"/>
      <c r="DG1" s="782"/>
      <c r="DH1" s="782"/>
      <c r="DI1" s="782"/>
      <c r="DJ1" s="782"/>
      <c r="DK1" s="212"/>
    </row>
    <row r="2" spans="1:115" ht="15" customHeight="1" x14ac:dyDescent="0.2">
      <c r="A2" s="211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782" t="s">
        <v>647</v>
      </c>
      <c r="AW2" s="782"/>
      <c r="AX2" s="782"/>
      <c r="AY2" s="782"/>
      <c r="AZ2" s="782"/>
      <c r="BA2" s="782"/>
      <c r="BB2" s="782"/>
      <c r="BC2" s="782"/>
      <c r="BD2" s="782"/>
      <c r="BE2" s="782"/>
      <c r="BF2" s="782"/>
      <c r="BG2" s="782"/>
      <c r="BH2" s="782"/>
      <c r="BI2" s="782"/>
      <c r="BJ2" s="782"/>
      <c r="BK2" s="782"/>
      <c r="BL2" s="782"/>
      <c r="BM2" s="782"/>
      <c r="BN2" s="782"/>
      <c r="BO2" s="782"/>
      <c r="BP2" s="782"/>
      <c r="BQ2" s="782"/>
      <c r="BR2" s="782"/>
      <c r="BS2" s="782"/>
      <c r="BT2" s="782"/>
      <c r="BU2" s="782"/>
      <c r="BV2" s="782"/>
      <c r="BW2" s="782"/>
      <c r="BX2" s="782"/>
      <c r="BY2" s="782"/>
      <c r="BZ2" s="782"/>
      <c r="CA2" s="782"/>
      <c r="CB2" s="782"/>
      <c r="CC2" s="782"/>
      <c r="CD2" s="782"/>
      <c r="CE2" s="782"/>
      <c r="CF2" s="782"/>
      <c r="CG2" s="782"/>
      <c r="CH2" s="782"/>
      <c r="CI2" s="782"/>
      <c r="CJ2" s="782"/>
      <c r="CK2" s="782"/>
      <c r="CL2" s="782"/>
      <c r="CM2" s="782"/>
      <c r="CN2" s="782"/>
      <c r="CO2" s="782"/>
      <c r="CP2" s="782"/>
      <c r="CQ2" s="782"/>
      <c r="CR2" s="782"/>
      <c r="CS2" s="782"/>
      <c r="CT2" s="782"/>
      <c r="CU2" s="782"/>
      <c r="CV2" s="782"/>
      <c r="CW2" s="782"/>
      <c r="CX2" s="782"/>
      <c r="CY2" s="782"/>
      <c r="CZ2" s="782"/>
      <c r="DA2" s="782"/>
      <c r="DB2" s="782"/>
      <c r="DC2" s="782"/>
      <c r="DD2" s="782"/>
      <c r="DE2" s="782"/>
      <c r="DF2" s="782"/>
      <c r="DG2" s="782"/>
      <c r="DH2" s="782"/>
      <c r="DI2" s="782"/>
      <c r="DJ2" s="782"/>
      <c r="DK2" s="212"/>
    </row>
    <row r="3" spans="1:115" x14ac:dyDescent="0.2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11"/>
      <c r="AX3" s="211"/>
      <c r="AY3" s="211"/>
      <c r="AZ3" s="211"/>
      <c r="BA3" s="211"/>
      <c r="BB3" s="211"/>
      <c r="BC3" s="211"/>
      <c r="BD3" s="211"/>
      <c r="BE3" s="211"/>
      <c r="BF3" s="211"/>
      <c r="BG3" s="211"/>
      <c r="BH3" s="211"/>
      <c r="BI3" s="211"/>
      <c r="BJ3" s="211"/>
      <c r="BK3" s="211"/>
      <c r="BL3" s="211"/>
      <c r="BM3" s="211"/>
      <c r="BN3" s="211"/>
      <c r="BO3" s="211"/>
      <c r="BP3" s="211"/>
      <c r="BQ3" s="211"/>
      <c r="BR3" s="211"/>
      <c r="BS3" s="211"/>
      <c r="BT3" s="211"/>
      <c r="BU3" s="211"/>
      <c r="BV3" s="211"/>
      <c r="BW3" s="211"/>
      <c r="BX3" s="211"/>
      <c r="BY3" s="211"/>
      <c r="BZ3" s="211"/>
      <c r="CA3" s="211"/>
      <c r="CB3" s="211"/>
      <c r="CC3" s="211"/>
      <c r="CD3" s="211"/>
      <c r="CE3" s="211"/>
      <c r="CF3" s="211"/>
      <c r="CG3" s="211"/>
      <c r="CH3" s="211"/>
      <c r="CI3" s="211"/>
      <c r="CJ3" s="211"/>
      <c r="CK3" s="211"/>
      <c r="CL3" s="211"/>
      <c r="CM3" s="211"/>
      <c r="CN3" s="211"/>
      <c r="CO3" s="211"/>
      <c r="CP3" s="211"/>
      <c r="CQ3" s="211"/>
      <c r="CR3" s="211"/>
      <c r="CS3" s="211"/>
      <c r="CT3" s="211"/>
      <c r="CU3" s="211"/>
      <c r="CV3" s="211"/>
      <c r="CW3" s="211"/>
      <c r="CX3" s="211"/>
      <c r="CY3" s="211"/>
      <c r="CZ3" s="211"/>
      <c r="DA3" s="211"/>
      <c r="DB3" s="211"/>
      <c r="DC3" s="211"/>
      <c r="DD3" s="211"/>
      <c r="DE3" s="211"/>
      <c r="DF3" s="211"/>
      <c r="DG3" s="211"/>
      <c r="DH3" s="211"/>
      <c r="DI3" s="211"/>
      <c r="DJ3" s="211"/>
      <c r="DK3" s="212"/>
    </row>
    <row r="4" spans="1:115" ht="12" thickBot="1" x14ac:dyDescent="0.25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E4" s="211"/>
      <c r="CF4" s="211"/>
      <c r="CG4" s="211"/>
      <c r="CH4" s="211"/>
      <c r="CI4" s="211"/>
      <c r="CJ4" s="211"/>
      <c r="CK4" s="211"/>
      <c r="CL4" s="211"/>
      <c r="CM4" s="211"/>
      <c r="CN4" s="211"/>
      <c r="CO4" s="211"/>
      <c r="CP4" s="211"/>
      <c r="CQ4" s="211"/>
      <c r="CR4" s="211"/>
      <c r="CS4" s="211"/>
      <c r="CT4" s="768" t="s">
        <v>87</v>
      </c>
      <c r="CU4" s="769"/>
      <c r="CV4" s="769"/>
      <c r="CW4" s="769"/>
      <c r="CX4" s="769"/>
      <c r="CY4" s="769"/>
      <c r="CZ4" s="769"/>
      <c r="DA4" s="769"/>
      <c r="DB4" s="769"/>
      <c r="DC4" s="769"/>
      <c r="DD4" s="769"/>
      <c r="DE4" s="769"/>
      <c r="DF4" s="769"/>
      <c r="DG4" s="769"/>
      <c r="DH4" s="769"/>
      <c r="DI4" s="769"/>
      <c r="DJ4" s="770"/>
      <c r="DK4" s="212"/>
    </row>
    <row r="5" spans="1:115" x14ac:dyDescent="0.2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0" t="s">
        <v>89</v>
      </c>
      <c r="CR5" s="211"/>
      <c r="CS5" s="211"/>
      <c r="CT5" s="771" t="s">
        <v>622</v>
      </c>
      <c r="CU5" s="772"/>
      <c r="CV5" s="772"/>
      <c r="CW5" s="772"/>
      <c r="CX5" s="772"/>
      <c r="CY5" s="772"/>
      <c r="CZ5" s="772"/>
      <c r="DA5" s="772"/>
      <c r="DB5" s="772"/>
      <c r="DC5" s="772"/>
      <c r="DD5" s="772"/>
      <c r="DE5" s="772"/>
      <c r="DF5" s="772"/>
      <c r="DG5" s="772"/>
      <c r="DH5" s="772"/>
      <c r="DI5" s="772"/>
      <c r="DJ5" s="773"/>
      <c r="DK5" s="212"/>
    </row>
    <row r="6" spans="1:115" x14ac:dyDescent="0.2">
      <c r="A6" s="739" t="str">
        <f>ПКО!A8</f>
        <v xml:space="preserve"> Зинченко Михаил Александрович</v>
      </c>
      <c r="B6" s="739"/>
      <c r="C6" s="739"/>
      <c r="D6" s="739"/>
      <c r="E6" s="739"/>
      <c r="F6" s="739"/>
      <c r="G6" s="739"/>
      <c r="H6" s="739"/>
      <c r="I6" s="739"/>
      <c r="J6" s="739"/>
      <c r="K6" s="739"/>
      <c r="L6" s="739"/>
      <c r="M6" s="739"/>
      <c r="N6" s="739"/>
      <c r="O6" s="739"/>
      <c r="P6" s="739"/>
      <c r="Q6" s="739"/>
      <c r="R6" s="739"/>
      <c r="S6" s="739"/>
      <c r="T6" s="739"/>
      <c r="U6" s="739"/>
      <c r="V6" s="739"/>
      <c r="W6" s="739"/>
      <c r="X6" s="739"/>
      <c r="Y6" s="739"/>
      <c r="Z6" s="739"/>
      <c r="AA6" s="739"/>
      <c r="AB6" s="739"/>
      <c r="AC6" s="739"/>
      <c r="AD6" s="739"/>
      <c r="AE6" s="739"/>
      <c r="AF6" s="739"/>
      <c r="AG6" s="739"/>
      <c r="AH6" s="739"/>
      <c r="AI6" s="739"/>
      <c r="AJ6" s="739"/>
      <c r="AK6" s="739"/>
      <c r="AL6" s="739"/>
      <c r="AM6" s="739"/>
      <c r="AN6" s="739"/>
      <c r="AO6" s="739"/>
      <c r="AP6" s="739"/>
      <c r="AQ6" s="739"/>
      <c r="AR6" s="739"/>
      <c r="AS6" s="739"/>
      <c r="AT6" s="739"/>
      <c r="AU6" s="739"/>
      <c r="AV6" s="739"/>
      <c r="AW6" s="739"/>
      <c r="AX6" s="739"/>
      <c r="AY6" s="739"/>
      <c r="AZ6" s="739"/>
      <c r="BA6" s="739"/>
      <c r="BB6" s="739"/>
      <c r="BC6" s="739"/>
      <c r="BD6" s="739"/>
      <c r="BE6" s="739"/>
      <c r="BF6" s="739"/>
      <c r="BG6" s="739"/>
      <c r="BH6" s="739"/>
      <c r="BI6" s="739"/>
      <c r="BJ6" s="739"/>
      <c r="BK6" s="739"/>
      <c r="BL6" s="739"/>
      <c r="BM6" s="739"/>
      <c r="BN6" s="739"/>
      <c r="BO6" s="739"/>
      <c r="BP6" s="739"/>
      <c r="BQ6" s="739"/>
      <c r="BR6" s="739"/>
      <c r="BS6" s="739"/>
      <c r="BT6" s="739"/>
      <c r="BU6" s="739"/>
      <c r="BV6" s="739"/>
      <c r="BW6" s="739"/>
      <c r="BX6" s="739"/>
      <c r="BY6" s="739"/>
      <c r="BZ6" s="739"/>
      <c r="CA6" s="739"/>
      <c r="CB6" s="739"/>
      <c r="CC6" s="739"/>
      <c r="CD6" s="739"/>
      <c r="CE6" s="739"/>
      <c r="CF6" s="739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0" t="s">
        <v>90</v>
      </c>
      <c r="CR6" s="211"/>
      <c r="CS6" s="211"/>
      <c r="CT6" s="774" t="str">
        <f>ПКО!AZ8</f>
        <v>32282661</v>
      </c>
      <c r="CU6" s="742"/>
      <c r="CV6" s="742"/>
      <c r="CW6" s="742"/>
      <c r="CX6" s="742"/>
      <c r="CY6" s="742"/>
      <c r="CZ6" s="742"/>
      <c r="DA6" s="742"/>
      <c r="DB6" s="742"/>
      <c r="DC6" s="742"/>
      <c r="DD6" s="742"/>
      <c r="DE6" s="742"/>
      <c r="DF6" s="742"/>
      <c r="DG6" s="742"/>
      <c r="DH6" s="742"/>
      <c r="DI6" s="742"/>
      <c r="DJ6" s="775"/>
      <c r="DK6" s="212"/>
    </row>
    <row r="7" spans="1:115" s="196" customFormat="1" ht="9.75" x14ac:dyDescent="0.2">
      <c r="A7" s="740" t="s">
        <v>624</v>
      </c>
      <c r="B7" s="740"/>
      <c r="C7" s="740"/>
      <c r="D7" s="740"/>
      <c r="E7" s="740"/>
      <c r="F7" s="740"/>
      <c r="G7" s="740"/>
      <c r="H7" s="740"/>
      <c r="I7" s="740"/>
      <c r="J7" s="740"/>
      <c r="K7" s="740"/>
      <c r="L7" s="740"/>
      <c r="M7" s="740"/>
      <c r="N7" s="740"/>
      <c r="O7" s="740"/>
      <c r="P7" s="740"/>
      <c r="Q7" s="740"/>
      <c r="R7" s="740"/>
      <c r="S7" s="740"/>
      <c r="T7" s="740"/>
      <c r="U7" s="740"/>
      <c r="V7" s="740"/>
      <c r="W7" s="740"/>
      <c r="X7" s="740"/>
      <c r="Y7" s="740"/>
      <c r="Z7" s="740"/>
      <c r="AA7" s="740"/>
      <c r="AB7" s="740"/>
      <c r="AC7" s="740"/>
      <c r="AD7" s="740"/>
      <c r="AE7" s="740"/>
      <c r="AF7" s="740"/>
      <c r="AG7" s="740"/>
      <c r="AH7" s="740"/>
      <c r="AI7" s="740"/>
      <c r="AJ7" s="740"/>
      <c r="AK7" s="740"/>
      <c r="AL7" s="740"/>
      <c r="AM7" s="740"/>
      <c r="AN7" s="740"/>
      <c r="AO7" s="740"/>
      <c r="AP7" s="740"/>
      <c r="AQ7" s="740"/>
      <c r="AR7" s="740"/>
      <c r="AS7" s="740"/>
      <c r="AT7" s="740"/>
      <c r="AU7" s="740"/>
      <c r="AV7" s="740"/>
      <c r="AW7" s="740"/>
      <c r="AX7" s="740"/>
      <c r="AY7" s="740"/>
      <c r="AZ7" s="740"/>
      <c r="BA7" s="740"/>
      <c r="BB7" s="740"/>
      <c r="BC7" s="740"/>
      <c r="BD7" s="740"/>
      <c r="BE7" s="740"/>
      <c r="BF7" s="740"/>
      <c r="BG7" s="740"/>
      <c r="BH7" s="740"/>
      <c r="BI7" s="740"/>
      <c r="BJ7" s="740"/>
      <c r="BK7" s="740"/>
      <c r="BL7" s="740"/>
      <c r="BM7" s="740"/>
      <c r="BN7" s="740"/>
      <c r="BO7" s="740"/>
      <c r="BP7" s="740"/>
      <c r="BQ7" s="740"/>
      <c r="BR7" s="740"/>
      <c r="BS7" s="740"/>
      <c r="BT7" s="740"/>
      <c r="BU7" s="740"/>
      <c r="BV7" s="740"/>
      <c r="BW7" s="740"/>
      <c r="BX7" s="740"/>
      <c r="BY7" s="740"/>
      <c r="BZ7" s="740"/>
      <c r="CA7" s="740"/>
      <c r="CB7" s="740"/>
      <c r="CC7" s="740"/>
      <c r="CD7" s="740"/>
      <c r="CE7" s="740"/>
      <c r="CF7" s="740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776"/>
      <c r="CU7" s="777"/>
      <c r="CV7" s="777"/>
      <c r="CW7" s="777"/>
      <c r="CX7" s="777"/>
      <c r="CY7" s="777"/>
      <c r="CZ7" s="777"/>
      <c r="DA7" s="777"/>
      <c r="DB7" s="777"/>
      <c r="DC7" s="777"/>
      <c r="DD7" s="777"/>
      <c r="DE7" s="777"/>
      <c r="DF7" s="777"/>
      <c r="DG7" s="777"/>
      <c r="DH7" s="777"/>
      <c r="DI7" s="777"/>
      <c r="DJ7" s="778"/>
      <c r="DK7" s="214"/>
    </row>
    <row r="8" spans="1:115" ht="12" thickBot="1" x14ac:dyDescent="0.25">
      <c r="A8" s="739" t="str">
        <f>ПКО!A10</f>
        <v xml:space="preserve">                  Народная аренда строительного инструмента</v>
      </c>
      <c r="B8" s="739"/>
      <c r="C8" s="739"/>
      <c r="D8" s="739"/>
      <c r="E8" s="739"/>
      <c r="F8" s="739"/>
      <c r="G8" s="739"/>
      <c r="H8" s="739"/>
      <c r="I8" s="739"/>
      <c r="J8" s="739"/>
      <c r="K8" s="739"/>
      <c r="L8" s="739"/>
      <c r="M8" s="739"/>
      <c r="N8" s="739"/>
      <c r="O8" s="739"/>
      <c r="P8" s="739"/>
      <c r="Q8" s="739"/>
      <c r="R8" s="739"/>
      <c r="S8" s="739"/>
      <c r="T8" s="739"/>
      <c r="U8" s="739"/>
      <c r="V8" s="739"/>
      <c r="W8" s="739"/>
      <c r="X8" s="739"/>
      <c r="Y8" s="739"/>
      <c r="Z8" s="739"/>
      <c r="AA8" s="739"/>
      <c r="AB8" s="739"/>
      <c r="AC8" s="739"/>
      <c r="AD8" s="739"/>
      <c r="AE8" s="739"/>
      <c r="AF8" s="739"/>
      <c r="AG8" s="739"/>
      <c r="AH8" s="739"/>
      <c r="AI8" s="739"/>
      <c r="AJ8" s="739"/>
      <c r="AK8" s="739"/>
      <c r="AL8" s="739"/>
      <c r="AM8" s="739"/>
      <c r="AN8" s="739"/>
      <c r="AO8" s="739"/>
      <c r="AP8" s="739"/>
      <c r="AQ8" s="739"/>
      <c r="AR8" s="739"/>
      <c r="AS8" s="739"/>
      <c r="AT8" s="739"/>
      <c r="AU8" s="739"/>
      <c r="AV8" s="739"/>
      <c r="AW8" s="739"/>
      <c r="AX8" s="739"/>
      <c r="AY8" s="739"/>
      <c r="AZ8" s="739"/>
      <c r="BA8" s="739"/>
      <c r="BB8" s="739"/>
      <c r="BC8" s="739"/>
      <c r="BD8" s="739"/>
      <c r="BE8" s="739"/>
      <c r="BF8" s="739"/>
      <c r="BG8" s="739"/>
      <c r="BH8" s="739"/>
      <c r="BI8" s="739"/>
      <c r="BJ8" s="739"/>
      <c r="BK8" s="739"/>
      <c r="BL8" s="739"/>
      <c r="BM8" s="739"/>
      <c r="BN8" s="739"/>
      <c r="BO8" s="739"/>
      <c r="BP8" s="739"/>
      <c r="BQ8" s="739"/>
      <c r="BR8" s="739"/>
      <c r="BS8" s="739"/>
      <c r="BT8" s="739"/>
      <c r="BU8" s="739"/>
      <c r="BV8" s="739"/>
      <c r="BW8" s="739"/>
      <c r="BX8" s="739"/>
      <c r="BY8" s="739"/>
      <c r="BZ8" s="739"/>
      <c r="CA8" s="739"/>
      <c r="CB8" s="739"/>
      <c r="CC8" s="739"/>
      <c r="CD8" s="739"/>
      <c r="CE8" s="739"/>
      <c r="CF8" s="739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9"/>
      <c r="CT8" s="779"/>
      <c r="CU8" s="780"/>
      <c r="CV8" s="780"/>
      <c r="CW8" s="780"/>
      <c r="CX8" s="780"/>
      <c r="CY8" s="780"/>
      <c r="CZ8" s="780"/>
      <c r="DA8" s="780"/>
      <c r="DB8" s="780"/>
      <c r="DC8" s="780"/>
      <c r="DD8" s="780"/>
      <c r="DE8" s="780"/>
      <c r="DF8" s="780"/>
      <c r="DG8" s="780"/>
      <c r="DH8" s="780"/>
      <c r="DI8" s="780"/>
      <c r="DJ8" s="781"/>
      <c r="DK8" s="212"/>
    </row>
    <row r="9" spans="1:115" s="196" customFormat="1" ht="9.75" x14ac:dyDescent="0.2">
      <c r="A9" s="740" t="s">
        <v>625</v>
      </c>
      <c r="B9" s="740"/>
      <c r="C9" s="740"/>
      <c r="D9" s="740"/>
      <c r="E9" s="740"/>
      <c r="F9" s="740"/>
      <c r="G9" s="740"/>
      <c r="H9" s="740"/>
      <c r="I9" s="740"/>
      <c r="J9" s="740"/>
      <c r="K9" s="740"/>
      <c r="L9" s="740"/>
      <c r="M9" s="740"/>
      <c r="N9" s="740"/>
      <c r="O9" s="740"/>
      <c r="P9" s="740"/>
      <c r="Q9" s="740"/>
      <c r="R9" s="740"/>
      <c r="S9" s="740"/>
      <c r="T9" s="740"/>
      <c r="U9" s="740"/>
      <c r="V9" s="740"/>
      <c r="W9" s="740"/>
      <c r="X9" s="740"/>
      <c r="Y9" s="740"/>
      <c r="Z9" s="740"/>
      <c r="AA9" s="740"/>
      <c r="AB9" s="740"/>
      <c r="AC9" s="740"/>
      <c r="AD9" s="740"/>
      <c r="AE9" s="740"/>
      <c r="AF9" s="740"/>
      <c r="AG9" s="740"/>
      <c r="AH9" s="740"/>
      <c r="AI9" s="740"/>
      <c r="AJ9" s="740"/>
      <c r="AK9" s="740"/>
      <c r="AL9" s="740"/>
      <c r="AM9" s="740"/>
      <c r="AN9" s="740"/>
      <c r="AO9" s="740"/>
      <c r="AP9" s="740"/>
      <c r="AQ9" s="740"/>
      <c r="AR9" s="740"/>
      <c r="AS9" s="740"/>
      <c r="AT9" s="740"/>
      <c r="AU9" s="740"/>
      <c r="AV9" s="740"/>
      <c r="AW9" s="740"/>
      <c r="AX9" s="740"/>
      <c r="AY9" s="740"/>
      <c r="AZ9" s="740"/>
      <c r="BA9" s="740"/>
      <c r="BB9" s="740"/>
      <c r="BC9" s="740"/>
      <c r="BD9" s="740"/>
      <c r="BE9" s="740"/>
      <c r="BF9" s="740"/>
      <c r="BG9" s="740"/>
      <c r="BH9" s="740"/>
      <c r="BI9" s="740"/>
      <c r="BJ9" s="740"/>
      <c r="BK9" s="740"/>
      <c r="BL9" s="740"/>
      <c r="BM9" s="740"/>
      <c r="BN9" s="740"/>
      <c r="BO9" s="740"/>
      <c r="BP9" s="740"/>
      <c r="BQ9" s="740"/>
      <c r="BR9" s="740"/>
      <c r="BS9" s="740"/>
      <c r="BT9" s="740"/>
      <c r="BU9" s="740"/>
      <c r="BV9" s="740"/>
      <c r="BW9" s="740"/>
      <c r="BX9" s="740"/>
      <c r="BY9" s="740"/>
      <c r="BZ9" s="740"/>
      <c r="CA9" s="740"/>
      <c r="CB9" s="740"/>
      <c r="CC9" s="740"/>
      <c r="CD9" s="740"/>
      <c r="CE9" s="740"/>
      <c r="CF9" s="740"/>
      <c r="CG9" s="740"/>
      <c r="CH9" s="740"/>
      <c r="CI9" s="740"/>
      <c r="CJ9" s="740"/>
      <c r="CK9" s="740"/>
      <c r="CL9" s="740"/>
      <c r="CM9" s="740"/>
      <c r="CN9" s="740"/>
      <c r="CO9" s="740"/>
      <c r="CP9" s="740"/>
      <c r="CQ9" s="740"/>
      <c r="CR9" s="740"/>
      <c r="CS9" s="740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  <c r="DI9" s="213"/>
      <c r="DJ9" s="213"/>
      <c r="DK9" s="214"/>
    </row>
    <row r="10" spans="1:115" ht="12" thickBot="1" x14ac:dyDescent="0.25">
      <c r="A10" s="211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  <c r="BD10" s="211"/>
      <c r="BE10" s="211"/>
      <c r="BF10" s="211"/>
      <c r="BG10" s="211"/>
      <c r="BH10" s="211"/>
      <c r="BI10" s="211"/>
      <c r="BJ10" s="211"/>
      <c r="BK10" s="211"/>
      <c r="BL10" s="211"/>
      <c r="BM10" s="211"/>
      <c r="BN10" s="211"/>
      <c r="BO10" s="211"/>
      <c r="BP10" s="211"/>
      <c r="BQ10" s="211"/>
      <c r="BR10" s="211"/>
      <c r="BS10" s="211"/>
      <c r="BT10" s="211"/>
      <c r="BU10" s="211"/>
      <c r="BV10" s="211"/>
      <c r="BW10" s="211"/>
      <c r="BX10" s="211"/>
      <c r="BY10" s="211"/>
      <c r="BZ10" s="211"/>
      <c r="CA10" s="211"/>
      <c r="CB10" s="211"/>
      <c r="CC10" s="752" t="s">
        <v>626</v>
      </c>
      <c r="CD10" s="753"/>
      <c r="CE10" s="753"/>
      <c r="CF10" s="753"/>
      <c r="CG10" s="753"/>
      <c r="CH10" s="753"/>
      <c r="CI10" s="753"/>
      <c r="CJ10" s="753"/>
      <c r="CK10" s="753"/>
      <c r="CL10" s="753"/>
      <c r="CM10" s="753"/>
      <c r="CN10" s="753"/>
      <c r="CO10" s="753"/>
      <c r="CP10" s="753"/>
      <c r="CQ10" s="753"/>
      <c r="CR10" s="753"/>
      <c r="CS10" s="754"/>
      <c r="CT10" s="752" t="s">
        <v>627</v>
      </c>
      <c r="CU10" s="753"/>
      <c r="CV10" s="753"/>
      <c r="CW10" s="753"/>
      <c r="CX10" s="753"/>
      <c r="CY10" s="753"/>
      <c r="CZ10" s="753"/>
      <c r="DA10" s="753"/>
      <c r="DB10" s="753"/>
      <c r="DC10" s="753"/>
      <c r="DD10" s="753"/>
      <c r="DE10" s="753"/>
      <c r="DF10" s="753"/>
      <c r="DG10" s="753"/>
      <c r="DH10" s="753"/>
      <c r="DI10" s="753"/>
      <c r="DJ10" s="754"/>
      <c r="DK10" s="212"/>
    </row>
    <row r="11" spans="1:115" ht="15.75" customHeight="1" thickBot="1" x14ac:dyDescent="0.25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197" t="s">
        <v>628</v>
      </c>
      <c r="BS11" s="211"/>
      <c r="BT11" s="229"/>
      <c r="BU11" s="767">
        <f ca="1">ПКО!AJ15</f>
        <v>9</v>
      </c>
      <c r="BV11" s="756"/>
      <c r="BW11" s="756"/>
      <c r="BX11" s="756"/>
      <c r="BY11" s="756"/>
      <c r="BZ11" s="756">
        <f ca="1">ПКО!AN15</f>
        <v>1</v>
      </c>
      <c r="CA11" s="756"/>
      <c r="CB11" s="756"/>
      <c r="CC11" s="756"/>
      <c r="CD11" s="756">
        <f ca="1">ПКО!AQ15</f>
        <v>2026</v>
      </c>
      <c r="CE11" s="756"/>
      <c r="CF11" s="756"/>
      <c r="CG11" s="756"/>
      <c r="CH11" s="756"/>
      <c r="CI11" s="756"/>
      <c r="CJ11" s="766">
        <f ca="1">ПКО!AU15</f>
        <v>46031.871582060186</v>
      </c>
      <c r="CK11" s="766"/>
      <c r="CL11" s="766"/>
      <c r="CM11" s="766"/>
      <c r="CN11" s="766"/>
      <c r="CO11" s="766"/>
      <c r="CP11" s="766"/>
      <c r="CQ11" s="756">
        <f>ПКО!AZ15</f>
        <v>1</v>
      </c>
      <c r="CR11" s="756"/>
      <c r="CS11" s="757"/>
      <c r="CT11" s="755">
        <f ca="1">ПКО!BB15</f>
        <v>46031</v>
      </c>
      <c r="CU11" s="756"/>
      <c r="CV11" s="756"/>
      <c r="CW11" s="756"/>
      <c r="CX11" s="756"/>
      <c r="CY11" s="756"/>
      <c r="CZ11" s="756"/>
      <c r="DA11" s="756"/>
      <c r="DB11" s="756"/>
      <c r="DC11" s="756"/>
      <c r="DD11" s="756"/>
      <c r="DE11" s="756"/>
      <c r="DF11" s="756"/>
      <c r="DG11" s="756"/>
      <c r="DH11" s="756"/>
      <c r="DI11" s="756"/>
      <c r="DJ11" s="757"/>
      <c r="DK11" s="212"/>
    </row>
    <row r="12" spans="1:115" x14ac:dyDescent="0.2">
      <c r="A12" s="211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1"/>
      <c r="BC12" s="211"/>
      <c r="BD12" s="211"/>
      <c r="BE12" s="211"/>
      <c r="BF12" s="211"/>
      <c r="BG12" s="211"/>
      <c r="BH12" s="211"/>
      <c r="BI12" s="211"/>
      <c r="BJ12" s="211"/>
      <c r="BK12" s="211"/>
      <c r="BL12" s="211"/>
      <c r="BM12" s="211"/>
      <c r="BN12" s="211"/>
      <c r="BO12" s="211"/>
      <c r="BP12" s="211"/>
      <c r="BQ12" s="211"/>
      <c r="BR12" s="211"/>
      <c r="BS12" s="211"/>
      <c r="BT12" s="211"/>
      <c r="BU12" s="211"/>
      <c r="BV12" s="211"/>
      <c r="BW12" s="211"/>
      <c r="BX12" s="211"/>
      <c r="BY12" s="211"/>
      <c r="BZ12" s="211"/>
      <c r="CA12" s="211"/>
      <c r="CB12" s="211"/>
      <c r="CC12" s="211"/>
      <c r="CD12" s="211"/>
      <c r="CE12" s="211"/>
      <c r="CF12" s="211"/>
      <c r="CG12" s="211"/>
      <c r="CH12" s="211"/>
      <c r="CI12" s="211"/>
      <c r="CJ12" s="211"/>
      <c r="CK12" s="211"/>
      <c r="CL12" s="211"/>
      <c r="CM12" s="211"/>
      <c r="CN12" s="211"/>
      <c r="CO12" s="211"/>
      <c r="CP12" s="211"/>
      <c r="CQ12" s="211"/>
      <c r="CR12" s="211"/>
      <c r="CS12" s="211"/>
      <c r="CT12" s="211"/>
      <c r="CU12" s="211"/>
      <c r="CV12" s="211"/>
      <c r="CW12" s="211"/>
      <c r="CX12" s="211"/>
      <c r="CY12" s="211"/>
      <c r="CZ12" s="211"/>
      <c r="DA12" s="211"/>
      <c r="DB12" s="211"/>
      <c r="DC12" s="211"/>
      <c r="DD12" s="211"/>
      <c r="DE12" s="211"/>
      <c r="DF12" s="211"/>
      <c r="DG12" s="211"/>
      <c r="DH12" s="211"/>
      <c r="DI12" s="211"/>
      <c r="DJ12" s="211"/>
      <c r="DK12" s="212"/>
    </row>
    <row r="13" spans="1:115" x14ac:dyDescent="0.2">
      <c r="A13" s="758" t="s">
        <v>100</v>
      </c>
      <c r="B13" s="759"/>
      <c r="C13" s="759"/>
      <c r="D13" s="759"/>
      <c r="E13" s="759"/>
      <c r="F13" s="759"/>
      <c r="G13" s="759"/>
      <c r="H13" s="759"/>
      <c r="I13" s="759"/>
      <c r="J13" s="759"/>
      <c r="K13" s="759"/>
      <c r="L13" s="759"/>
      <c r="M13" s="759"/>
      <c r="N13" s="759"/>
      <c r="O13" s="759"/>
      <c r="P13" s="759"/>
      <c r="Q13" s="759"/>
      <c r="R13" s="759"/>
      <c r="S13" s="759"/>
      <c r="T13" s="759"/>
      <c r="U13" s="759"/>
      <c r="V13" s="759"/>
      <c r="W13" s="759"/>
      <c r="X13" s="759"/>
      <c r="Y13" s="759"/>
      <c r="Z13" s="759"/>
      <c r="AA13" s="759"/>
      <c r="AB13" s="759"/>
      <c r="AC13" s="759"/>
      <c r="AD13" s="759"/>
      <c r="AE13" s="759"/>
      <c r="AF13" s="759"/>
      <c r="AG13" s="759"/>
      <c r="AH13" s="759"/>
      <c r="AI13" s="759"/>
      <c r="AJ13" s="759"/>
      <c r="AK13" s="759"/>
      <c r="AL13" s="759"/>
      <c r="AM13" s="759"/>
      <c r="AN13" s="759"/>
      <c r="AO13" s="759"/>
      <c r="AP13" s="759"/>
      <c r="AQ13" s="759"/>
      <c r="AR13" s="759"/>
      <c r="AS13" s="759"/>
      <c r="AT13" s="759"/>
      <c r="AU13" s="759"/>
      <c r="AV13" s="759"/>
      <c r="AW13" s="759"/>
      <c r="AX13" s="759"/>
      <c r="AY13" s="759"/>
      <c r="AZ13" s="759"/>
      <c r="BA13" s="759"/>
      <c r="BB13" s="759"/>
      <c r="BC13" s="759"/>
      <c r="BD13" s="759"/>
      <c r="BE13" s="759"/>
      <c r="BF13" s="759"/>
      <c r="BG13" s="759"/>
      <c r="BH13" s="759"/>
      <c r="BI13" s="759"/>
      <c r="BJ13" s="759"/>
      <c r="BK13" s="759"/>
      <c r="BL13" s="759"/>
      <c r="BM13" s="759"/>
      <c r="BN13" s="759"/>
      <c r="BO13" s="759"/>
      <c r="BP13" s="759"/>
      <c r="BQ13" s="759"/>
      <c r="BR13" s="759"/>
      <c r="BS13" s="760"/>
      <c r="BT13" s="743" t="s">
        <v>101</v>
      </c>
      <c r="BU13" s="744"/>
      <c r="BV13" s="744"/>
      <c r="BW13" s="744"/>
      <c r="BX13" s="744"/>
      <c r="BY13" s="744"/>
      <c r="BZ13" s="744"/>
      <c r="CA13" s="744"/>
      <c r="CB13" s="745"/>
      <c r="CC13" s="743" t="s">
        <v>646</v>
      </c>
      <c r="CD13" s="744"/>
      <c r="CE13" s="744"/>
      <c r="CF13" s="744"/>
      <c r="CG13" s="744"/>
      <c r="CH13" s="744"/>
      <c r="CI13" s="744"/>
      <c r="CJ13" s="744"/>
      <c r="CK13" s="744"/>
      <c r="CL13" s="744"/>
      <c r="CM13" s="744"/>
      <c r="CN13" s="744"/>
      <c r="CO13" s="744"/>
      <c r="CP13" s="745"/>
      <c r="CQ13" s="743" t="s">
        <v>629</v>
      </c>
      <c r="CR13" s="744"/>
      <c r="CS13" s="744"/>
      <c r="CT13" s="744"/>
      <c r="CU13" s="744"/>
      <c r="CV13" s="744"/>
      <c r="CW13" s="744"/>
      <c r="CX13" s="744"/>
      <c r="CY13" s="744"/>
      <c r="CZ13" s="744"/>
      <c r="DA13" s="744"/>
      <c r="DB13" s="745"/>
      <c r="DC13" s="752"/>
      <c r="DD13" s="753"/>
      <c r="DE13" s="753"/>
      <c r="DF13" s="753"/>
      <c r="DG13" s="753"/>
      <c r="DH13" s="753"/>
      <c r="DI13" s="753"/>
      <c r="DJ13" s="754"/>
      <c r="DK13" s="212"/>
    </row>
    <row r="14" spans="1:115" ht="23.25" customHeight="1" thickBot="1" x14ac:dyDescent="0.25">
      <c r="A14" s="743"/>
      <c r="B14" s="744"/>
      <c r="C14" s="744"/>
      <c r="D14" s="744"/>
      <c r="E14" s="744"/>
      <c r="F14" s="744"/>
      <c r="G14" s="745"/>
      <c r="H14" s="743" t="s">
        <v>630</v>
      </c>
      <c r="I14" s="744"/>
      <c r="J14" s="744"/>
      <c r="K14" s="744"/>
      <c r="L14" s="744"/>
      <c r="M14" s="744"/>
      <c r="N14" s="744"/>
      <c r="O14" s="744"/>
      <c r="P14" s="744"/>
      <c r="Q14" s="744"/>
      <c r="R14" s="744"/>
      <c r="S14" s="744"/>
      <c r="T14" s="744"/>
      <c r="U14" s="744"/>
      <c r="V14" s="744"/>
      <c r="W14" s="744"/>
      <c r="X14" s="744"/>
      <c r="Y14" s="744"/>
      <c r="Z14" s="745"/>
      <c r="AA14" s="743" t="s">
        <v>631</v>
      </c>
      <c r="AB14" s="744"/>
      <c r="AC14" s="744"/>
      <c r="AD14" s="744"/>
      <c r="AE14" s="744"/>
      <c r="AF14" s="744"/>
      <c r="AG14" s="744"/>
      <c r="AH14" s="744"/>
      <c r="AI14" s="744"/>
      <c r="AJ14" s="744"/>
      <c r="AK14" s="744"/>
      <c r="AL14" s="744"/>
      <c r="AM14" s="744"/>
      <c r="AN14" s="744"/>
      <c r="AO14" s="744"/>
      <c r="AP14" s="744"/>
      <c r="AQ14" s="744"/>
      <c r="AR14" s="744"/>
      <c r="AS14" s="744"/>
      <c r="AT14" s="744"/>
      <c r="AU14" s="745"/>
      <c r="AV14" s="743" t="s">
        <v>632</v>
      </c>
      <c r="AW14" s="744"/>
      <c r="AX14" s="744"/>
      <c r="AY14" s="744"/>
      <c r="AZ14" s="744"/>
      <c r="BA14" s="744"/>
      <c r="BB14" s="744"/>
      <c r="BC14" s="744"/>
      <c r="BD14" s="744"/>
      <c r="BE14" s="744"/>
      <c r="BF14" s="744"/>
      <c r="BG14" s="744"/>
      <c r="BH14" s="744"/>
      <c r="BI14" s="744"/>
      <c r="BJ14" s="744"/>
      <c r="BK14" s="744"/>
      <c r="BL14" s="744"/>
      <c r="BM14" s="744"/>
      <c r="BN14" s="744"/>
      <c r="BO14" s="744"/>
      <c r="BP14" s="744"/>
      <c r="BQ14" s="744"/>
      <c r="BR14" s="744"/>
      <c r="BS14" s="744"/>
      <c r="BT14" s="761"/>
      <c r="BU14" s="762"/>
      <c r="BV14" s="762"/>
      <c r="BW14" s="762"/>
      <c r="BX14" s="762"/>
      <c r="BY14" s="762"/>
      <c r="BZ14" s="762"/>
      <c r="CA14" s="762"/>
      <c r="CB14" s="763"/>
      <c r="CC14" s="761"/>
      <c r="CD14" s="762"/>
      <c r="CE14" s="762"/>
      <c r="CF14" s="762"/>
      <c r="CG14" s="762"/>
      <c r="CH14" s="762"/>
      <c r="CI14" s="762"/>
      <c r="CJ14" s="762"/>
      <c r="CK14" s="762"/>
      <c r="CL14" s="762"/>
      <c r="CM14" s="762"/>
      <c r="CN14" s="762"/>
      <c r="CO14" s="762"/>
      <c r="CP14" s="763"/>
      <c r="CQ14" s="761"/>
      <c r="CR14" s="762"/>
      <c r="CS14" s="762"/>
      <c r="CT14" s="762"/>
      <c r="CU14" s="762"/>
      <c r="CV14" s="762"/>
      <c r="CW14" s="762"/>
      <c r="CX14" s="762"/>
      <c r="CY14" s="762"/>
      <c r="CZ14" s="762"/>
      <c r="DA14" s="762"/>
      <c r="DB14" s="763"/>
      <c r="DC14" s="764"/>
      <c r="DD14" s="738"/>
      <c r="DE14" s="738"/>
      <c r="DF14" s="738"/>
      <c r="DG14" s="738"/>
      <c r="DH14" s="738"/>
      <c r="DI14" s="738"/>
      <c r="DJ14" s="765"/>
      <c r="DK14" s="212"/>
    </row>
    <row r="15" spans="1:115" ht="12" thickBot="1" x14ac:dyDescent="0.25">
      <c r="A15" s="746"/>
      <c r="B15" s="747"/>
      <c r="C15" s="747"/>
      <c r="D15" s="747"/>
      <c r="E15" s="747"/>
      <c r="F15" s="747"/>
      <c r="G15" s="748"/>
      <c r="H15" s="749" t="str">
        <f>ПКО!L21</f>
        <v>1</v>
      </c>
      <c r="I15" s="747"/>
      <c r="J15" s="747"/>
      <c r="K15" s="747"/>
      <c r="L15" s="747"/>
      <c r="M15" s="747"/>
      <c r="N15" s="747"/>
      <c r="O15" s="747"/>
      <c r="P15" s="747"/>
      <c r="Q15" s="747"/>
      <c r="R15" s="747"/>
      <c r="S15" s="747"/>
      <c r="T15" s="747"/>
      <c r="U15" s="747"/>
      <c r="V15" s="747"/>
      <c r="W15" s="747"/>
      <c r="X15" s="747"/>
      <c r="Y15" s="747"/>
      <c r="Z15" s="748"/>
      <c r="AA15" s="749" t="str">
        <f>ПКО!U21</f>
        <v>1234587</v>
      </c>
      <c r="AB15" s="747"/>
      <c r="AC15" s="747"/>
      <c r="AD15" s="747"/>
      <c r="AE15" s="747"/>
      <c r="AF15" s="747"/>
      <c r="AG15" s="747"/>
      <c r="AH15" s="747"/>
      <c r="AI15" s="747"/>
      <c r="AJ15" s="747"/>
      <c r="AK15" s="747"/>
      <c r="AL15" s="747"/>
      <c r="AM15" s="747"/>
      <c r="AN15" s="747"/>
      <c r="AO15" s="747"/>
      <c r="AP15" s="747"/>
      <c r="AQ15" s="747"/>
      <c r="AR15" s="747"/>
      <c r="AS15" s="747"/>
      <c r="AT15" s="747"/>
      <c r="AU15" s="748"/>
      <c r="AV15" s="749" t="str">
        <f>ПКО!AD21</f>
        <v>6598</v>
      </c>
      <c r="AW15" s="747"/>
      <c r="AX15" s="747"/>
      <c r="AY15" s="747"/>
      <c r="AZ15" s="747"/>
      <c r="BA15" s="747"/>
      <c r="BB15" s="747"/>
      <c r="BC15" s="747"/>
      <c r="BD15" s="747"/>
      <c r="BE15" s="747"/>
      <c r="BF15" s="747"/>
      <c r="BG15" s="747"/>
      <c r="BH15" s="747"/>
      <c r="BI15" s="747"/>
      <c r="BJ15" s="747"/>
      <c r="BK15" s="747"/>
      <c r="BL15" s="747"/>
      <c r="BM15" s="747"/>
      <c r="BN15" s="747"/>
      <c r="BO15" s="747"/>
      <c r="BP15" s="747"/>
      <c r="BQ15" s="747"/>
      <c r="BR15" s="747"/>
      <c r="BS15" s="748"/>
      <c r="BT15" s="750"/>
      <c r="BU15" s="747"/>
      <c r="BV15" s="747"/>
      <c r="BW15" s="747"/>
      <c r="BX15" s="747"/>
      <c r="BY15" s="747"/>
      <c r="BZ15" s="747"/>
      <c r="CA15" s="747"/>
      <c r="CB15" s="748"/>
      <c r="CC15" s="750">
        <f>ПКО!BU21</f>
        <v>3000</v>
      </c>
      <c r="CD15" s="747"/>
      <c r="CE15" s="747"/>
      <c r="CF15" s="747"/>
      <c r="CG15" s="747"/>
      <c r="CH15" s="747"/>
      <c r="CI15" s="747"/>
      <c r="CJ15" s="747"/>
      <c r="CK15" s="747"/>
      <c r="CL15" s="747"/>
      <c r="CM15" s="747"/>
      <c r="CN15" s="747"/>
      <c r="CO15" s="747"/>
      <c r="CP15" s="748"/>
      <c r="CQ15" s="749" t="str">
        <f>ПКО!AW21</f>
        <v>200</v>
      </c>
      <c r="CR15" s="747"/>
      <c r="CS15" s="747"/>
      <c r="CT15" s="747"/>
      <c r="CU15" s="747"/>
      <c r="CV15" s="747"/>
      <c r="CW15" s="747"/>
      <c r="CX15" s="747"/>
      <c r="CY15" s="747"/>
      <c r="CZ15" s="747"/>
      <c r="DA15" s="747"/>
      <c r="DB15" s="748"/>
      <c r="DC15" s="750"/>
      <c r="DD15" s="747"/>
      <c r="DE15" s="747"/>
      <c r="DF15" s="747"/>
      <c r="DG15" s="747"/>
      <c r="DH15" s="747"/>
      <c r="DI15" s="747"/>
      <c r="DJ15" s="751"/>
      <c r="DK15" s="212"/>
    </row>
    <row r="16" spans="1:115" x14ac:dyDescent="0.2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1"/>
      <c r="BR16" s="211"/>
      <c r="BS16" s="211"/>
      <c r="BT16" s="211"/>
      <c r="BU16" s="211"/>
      <c r="BV16" s="211"/>
      <c r="BW16" s="211"/>
      <c r="BX16" s="211"/>
      <c r="BY16" s="211"/>
      <c r="BZ16" s="211"/>
      <c r="CA16" s="211"/>
      <c r="CB16" s="211"/>
      <c r="CC16" s="211"/>
      <c r="CD16" s="211"/>
      <c r="CE16" s="211"/>
      <c r="CF16" s="211"/>
      <c r="CG16" s="211"/>
      <c r="CH16" s="211"/>
      <c r="CI16" s="211"/>
      <c r="CJ16" s="211"/>
      <c r="CK16" s="211"/>
      <c r="CL16" s="211"/>
      <c r="CM16" s="211"/>
      <c r="CN16" s="211"/>
      <c r="CO16" s="211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1"/>
      <c r="DA16" s="211"/>
      <c r="DB16" s="211"/>
      <c r="DC16" s="211"/>
      <c r="DD16" s="211"/>
      <c r="DE16" s="211"/>
      <c r="DF16" s="211"/>
      <c r="DG16" s="211"/>
      <c r="DH16" s="211"/>
      <c r="DI16" s="211"/>
      <c r="DJ16" s="211"/>
      <c r="DK16" s="212"/>
    </row>
    <row r="17" spans="1:115" x14ac:dyDescent="0.2">
      <c r="A17" s="211" t="s">
        <v>633</v>
      </c>
      <c r="B17" s="211"/>
      <c r="C17" s="211"/>
      <c r="D17" s="211"/>
      <c r="E17" s="211"/>
      <c r="F17" s="211"/>
      <c r="G17" s="211"/>
      <c r="H17" s="739" t="str">
        <f>ПКО!I23</f>
        <v>ХХХХ ХХХХ ХХХХ</v>
      </c>
      <c r="I17" s="739"/>
      <c r="J17" s="739"/>
      <c r="K17" s="739"/>
      <c r="L17" s="739"/>
      <c r="M17" s="739"/>
      <c r="N17" s="739"/>
      <c r="O17" s="739"/>
      <c r="P17" s="739"/>
      <c r="Q17" s="739"/>
      <c r="R17" s="739"/>
      <c r="S17" s="739"/>
      <c r="T17" s="739"/>
      <c r="U17" s="739"/>
      <c r="V17" s="739"/>
      <c r="W17" s="739"/>
      <c r="X17" s="739"/>
      <c r="Y17" s="739"/>
      <c r="Z17" s="739"/>
      <c r="AA17" s="739"/>
      <c r="AB17" s="739"/>
      <c r="AC17" s="739"/>
      <c r="AD17" s="739"/>
      <c r="AE17" s="739"/>
      <c r="AF17" s="739"/>
      <c r="AG17" s="739"/>
      <c r="AH17" s="739"/>
      <c r="AI17" s="739"/>
      <c r="AJ17" s="739"/>
      <c r="AK17" s="739"/>
      <c r="AL17" s="739"/>
      <c r="AM17" s="739"/>
      <c r="AN17" s="739"/>
      <c r="AO17" s="739"/>
      <c r="AP17" s="739"/>
      <c r="AQ17" s="739"/>
      <c r="AR17" s="739"/>
      <c r="AS17" s="739"/>
      <c r="AT17" s="739"/>
      <c r="AU17" s="739"/>
      <c r="AV17" s="739"/>
      <c r="AW17" s="739"/>
      <c r="AX17" s="739"/>
      <c r="AY17" s="739"/>
      <c r="AZ17" s="739"/>
      <c r="BA17" s="739"/>
      <c r="BB17" s="739"/>
      <c r="BC17" s="739"/>
      <c r="BD17" s="739"/>
      <c r="BE17" s="739"/>
      <c r="BF17" s="739"/>
      <c r="BG17" s="739"/>
      <c r="BH17" s="739"/>
      <c r="BI17" s="739"/>
      <c r="BJ17" s="739"/>
      <c r="BK17" s="739"/>
      <c r="BL17" s="739"/>
      <c r="BM17" s="739"/>
      <c r="BN17" s="739"/>
      <c r="BO17" s="739"/>
      <c r="BP17" s="739"/>
      <c r="BQ17" s="739"/>
      <c r="BR17" s="739"/>
      <c r="BS17" s="739"/>
      <c r="BT17" s="739"/>
      <c r="BU17" s="739"/>
      <c r="BV17" s="739"/>
      <c r="BW17" s="739"/>
      <c r="BX17" s="739"/>
      <c r="BY17" s="739"/>
      <c r="BZ17" s="739"/>
      <c r="CA17" s="739"/>
      <c r="CB17" s="739"/>
      <c r="CC17" s="739"/>
      <c r="CD17" s="739"/>
      <c r="CE17" s="739"/>
      <c r="CF17" s="739"/>
      <c r="CG17" s="739"/>
      <c r="CH17" s="739"/>
      <c r="CI17" s="739"/>
      <c r="CJ17" s="739"/>
      <c r="CK17" s="739"/>
      <c r="CL17" s="739"/>
      <c r="CM17" s="739"/>
      <c r="CN17" s="739"/>
      <c r="CO17" s="739"/>
      <c r="CP17" s="739"/>
      <c r="CQ17" s="739"/>
      <c r="CR17" s="739"/>
      <c r="CS17" s="739"/>
      <c r="CT17" s="739"/>
      <c r="CU17" s="739"/>
      <c r="CV17" s="739"/>
      <c r="CW17" s="739"/>
      <c r="CX17" s="739"/>
      <c r="CY17" s="739"/>
      <c r="CZ17" s="739"/>
      <c r="DA17" s="739"/>
      <c r="DB17" s="739"/>
      <c r="DC17" s="739"/>
      <c r="DD17" s="739"/>
      <c r="DE17" s="739"/>
      <c r="DF17" s="739"/>
      <c r="DG17" s="739"/>
      <c r="DH17" s="739"/>
      <c r="DI17" s="739"/>
      <c r="DJ17" s="739"/>
      <c r="DK17" s="212"/>
    </row>
    <row r="18" spans="1:115" s="196" customFormat="1" ht="9.75" x14ac:dyDescent="0.2">
      <c r="A18" s="213"/>
      <c r="B18" s="213"/>
      <c r="C18" s="213"/>
      <c r="D18" s="213"/>
      <c r="E18" s="213"/>
      <c r="F18" s="213"/>
      <c r="G18" s="213"/>
      <c r="H18" s="740" t="s">
        <v>634</v>
      </c>
      <c r="I18" s="740"/>
      <c r="J18" s="740"/>
      <c r="K18" s="740"/>
      <c r="L18" s="740"/>
      <c r="M18" s="740"/>
      <c r="N18" s="740"/>
      <c r="O18" s="740"/>
      <c r="P18" s="740"/>
      <c r="Q18" s="740"/>
      <c r="R18" s="740"/>
      <c r="S18" s="740"/>
      <c r="T18" s="740"/>
      <c r="U18" s="740"/>
      <c r="V18" s="740"/>
      <c r="W18" s="740"/>
      <c r="X18" s="740"/>
      <c r="Y18" s="740"/>
      <c r="Z18" s="740"/>
      <c r="AA18" s="740"/>
      <c r="AB18" s="740"/>
      <c r="AC18" s="740"/>
      <c r="AD18" s="740"/>
      <c r="AE18" s="740"/>
      <c r="AF18" s="740"/>
      <c r="AG18" s="740"/>
      <c r="AH18" s="740"/>
      <c r="AI18" s="740"/>
      <c r="AJ18" s="740"/>
      <c r="AK18" s="740"/>
      <c r="AL18" s="740"/>
      <c r="AM18" s="740"/>
      <c r="AN18" s="740"/>
      <c r="AO18" s="740"/>
      <c r="AP18" s="740"/>
      <c r="AQ18" s="740"/>
      <c r="AR18" s="740"/>
      <c r="AS18" s="740"/>
      <c r="AT18" s="740"/>
      <c r="AU18" s="740"/>
      <c r="AV18" s="740"/>
      <c r="AW18" s="740"/>
      <c r="AX18" s="740"/>
      <c r="AY18" s="740"/>
      <c r="AZ18" s="740"/>
      <c r="BA18" s="740"/>
      <c r="BB18" s="740"/>
      <c r="BC18" s="740"/>
      <c r="BD18" s="740"/>
      <c r="BE18" s="740"/>
      <c r="BF18" s="740"/>
      <c r="BG18" s="740"/>
      <c r="BH18" s="740"/>
      <c r="BI18" s="740"/>
      <c r="BJ18" s="740"/>
      <c r="BK18" s="740"/>
      <c r="BL18" s="740"/>
      <c r="BM18" s="740"/>
      <c r="BN18" s="740"/>
      <c r="BO18" s="740"/>
      <c r="BP18" s="740"/>
      <c r="BQ18" s="740"/>
      <c r="BR18" s="740"/>
      <c r="BS18" s="740"/>
      <c r="BT18" s="740"/>
      <c r="BU18" s="740"/>
      <c r="BV18" s="740"/>
      <c r="BW18" s="740"/>
      <c r="BX18" s="740"/>
      <c r="BY18" s="740"/>
      <c r="BZ18" s="740"/>
      <c r="CA18" s="740"/>
      <c r="CB18" s="740"/>
      <c r="CC18" s="740"/>
      <c r="CD18" s="740"/>
      <c r="CE18" s="740"/>
      <c r="CF18" s="740"/>
      <c r="CG18" s="740"/>
      <c r="CH18" s="740"/>
      <c r="CI18" s="740"/>
      <c r="CJ18" s="740"/>
      <c r="CK18" s="740"/>
      <c r="CL18" s="740"/>
      <c r="CM18" s="740"/>
      <c r="CN18" s="740"/>
      <c r="CO18" s="740"/>
      <c r="CP18" s="740"/>
      <c r="CQ18" s="740"/>
      <c r="CR18" s="740"/>
      <c r="CS18" s="740"/>
      <c r="CT18" s="740"/>
      <c r="CU18" s="740"/>
      <c r="CV18" s="740"/>
      <c r="CW18" s="740"/>
      <c r="CX18" s="740"/>
      <c r="CY18" s="740"/>
      <c r="CZ18" s="740"/>
      <c r="DA18" s="740"/>
      <c r="DB18" s="740"/>
      <c r="DC18" s="740"/>
      <c r="DD18" s="740"/>
      <c r="DE18" s="740"/>
      <c r="DF18" s="740"/>
      <c r="DG18" s="740"/>
      <c r="DH18" s="740"/>
      <c r="DI18" s="740"/>
      <c r="DJ18" s="740"/>
      <c r="DK18" s="214"/>
    </row>
    <row r="19" spans="1:115" x14ac:dyDescent="0.2">
      <c r="A19" s="211" t="s">
        <v>99</v>
      </c>
      <c r="B19" s="211"/>
      <c r="C19" s="211"/>
      <c r="D19" s="211"/>
      <c r="E19" s="211"/>
      <c r="F19" s="211"/>
      <c r="G19" s="211"/>
      <c r="H19" s="211"/>
      <c r="I19" s="211"/>
      <c r="J19" s="211"/>
      <c r="K19" s="739" t="s">
        <v>664</v>
      </c>
      <c r="L19" s="739"/>
      <c r="M19" s="739"/>
      <c r="N19" s="739"/>
      <c r="O19" s="739"/>
      <c r="P19" s="739"/>
      <c r="Q19" s="739"/>
      <c r="R19" s="198" t="str">
        <f>ПКО!BW16</f>
        <v xml:space="preserve"> Обеспечительный платеж</v>
      </c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739" t="str">
        <f>ПКО!BP17</f>
        <v>Аренда строительного оборудования</v>
      </c>
      <c r="AP19" s="739"/>
      <c r="AQ19" s="739"/>
      <c r="AR19" s="739"/>
      <c r="AS19" s="739"/>
      <c r="AT19" s="739"/>
      <c r="AU19" s="739"/>
      <c r="AV19" s="739"/>
      <c r="AW19" s="739"/>
      <c r="AX19" s="739"/>
      <c r="AY19" s="739"/>
      <c r="AZ19" s="739"/>
      <c r="BA19" s="739"/>
      <c r="BB19" s="739"/>
      <c r="BC19" s="739"/>
      <c r="BD19" s="739"/>
      <c r="BE19" s="739"/>
      <c r="BF19" s="739"/>
      <c r="BG19" s="739"/>
      <c r="BH19" s="739"/>
      <c r="BI19" s="739"/>
      <c r="BJ19" s="739"/>
      <c r="BK19" s="739"/>
      <c r="BL19" s="739"/>
      <c r="BM19" s="739"/>
      <c r="BN19" s="739"/>
      <c r="BO19" s="739"/>
      <c r="BP19" s="739"/>
      <c r="BQ19" s="739"/>
      <c r="BR19" s="739"/>
      <c r="BS19" s="739"/>
      <c r="BT19" s="739"/>
      <c r="BU19" s="739"/>
      <c r="BV19" s="739"/>
      <c r="BW19" s="739"/>
      <c r="BX19" s="739"/>
      <c r="BY19" s="739" t="str">
        <f>ПКО!BP18</f>
        <v>XXXXXXX</v>
      </c>
      <c r="BZ19" s="739"/>
      <c r="CA19" s="739"/>
      <c r="CB19" s="739"/>
      <c r="CC19" s="739"/>
      <c r="CD19" s="739"/>
      <c r="CE19" s="739"/>
      <c r="CF19" s="739"/>
      <c r="CG19" s="739"/>
      <c r="CH19" s="739"/>
      <c r="CI19" s="739"/>
      <c r="CJ19" s="739"/>
      <c r="CK19" s="739"/>
      <c r="CL19" s="739"/>
      <c r="CM19" s="739"/>
      <c r="CN19" s="739"/>
      <c r="CO19" s="739"/>
      <c r="CP19" s="739"/>
      <c r="CQ19" s="739"/>
      <c r="CR19" s="739"/>
      <c r="CS19" s="739"/>
      <c r="CT19" s="739"/>
      <c r="CU19" s="739"/>
      <c r="CV19" s="739"/>
      <c r="CW19" s="198"/>
      <c r="CX19" s="198"/>
      <c r="CY19" s="198"/>
      <c r="CZ19" s="198"/>
      <c r="DA19" s="198"/>
      <c r="DB19" s="198"/>
      <c r="DC19" s="198"/>
      <c r="DD19" s="198"/>
      <c r="DE19" s="198"/>
      <c r="DF19" s="198"/>
      <c r="DG19" s="198"/>
      <c r="DH19" s="198"/>
      <c r="DI19" s="198"/>
      <c r="DJ19" s="198"/>
      <c r="DK19" s="211"/>
    </row>
    <row r="20" spans="1:115" ht="17.25" customHeight="1" x14ac:dyDescent="0.2">
      <c r="A20" s="211" t="s">
        <v>113</v>
      </c>
      <c r="B20" s="211"/>
      <c r="C20" s="211"/>
      <c r="D20" s="211"/>
      <c r="E20" s="211"/>
      <c r="F20" s="211"/>
      <c r="G20" s="739" t="e">
        <f ca="1">ПКО!BN23</f>
        <v>#NAME?</v>
      </c>
      <c r="H20" s="739"/>
      <c r="I20" s="739"/>
      <c r="J20" s="739"/>
      <c r="K20" s="739"/>
      <c r="L20" s="739"/>
      <c r="M20" s="739"/>
      <c r="N20" s="739"/>
      <c r="O20" s="739"/>
      <c r="P20" s="739"/>
      <c r="Q20" s="739"/>
      <c r="R20" s="739"/>
      <c r="S20" s="739"/>
      <c r="T20" s="739"/>
      <c r="U20" s="739"/>
      <c r="V20" s="739"/>
      <c r="W20" s="739"/>
      <c r="X20" s="739"/>
      <c r="Y20" s="739"/>
      <c r="Z20" s="739"/>
      <c r="AA20" s="739"/>
      <c r="AB20" s="739"/>
      <c r="AC20" s="739"/>
      <c r="AD20" s="739"/>
      <c r="AE20" s="739"/>
      <c r="AF20" s="739"/>
      <c r="AG20" s="739"/>
      <c r="AH20" s="739"/>
      <c r="AI20" s="739"/>
      <c r="AJ20" s="739"/>
      <c r="AK20" s="739"/>
      <c r="AL20" s="739"/>
      <c r="AM20" s="739"/>
      <c r="AN20" s="739"/>
      <c r="AO20" s="739"/>
      <c r="AP20" s="739"/>
      <c r="AQ20" s="739"/>
      <c r="AR20" s="739"/>
      <c r="AS20" s="739"/>
      <c r="AT20" s="739"/>
      <c r="AU20" s="739"/>
      <c r="AV20" s="739"/>
      <c r="AW20" s="739"/>
      <c r="AX20" s="739"/>
      <c r="AY20" s="739"/>
      <c r="AZ20" s="739"/>
      <c r="BA20" s="739"/>
      <c r="BB20" s="739"/>
      <c r="BC20" s="739"/>
      <c r="BD20" s="739"/>
      <c r="BE20" s="739"/>
      <c r="BF20" s="739"/>
      <c r="BG20" s="739"/>
      <c r="BH20" s="739"/>
      <c r="BI20" s="739"/>
      <c r="BJ20" s="739"/>
      <c r="BK20" s="739"/>
      <c r="BL20" s="739"/>
      <c r="BM20" s="739"/>
      <c r="BN20" s="739"/>
      <c r="BO20" s="739"/>
      <c r="BP20" s="739"/>
      <c r="BQ20" s="739"/>
      <c r="BR20" s="739"/>
      <c r="BS20" s="739"/>
      <c r="BT20" s="739"/>
      <c r="BU20" s="739"/>
      <c r="BV20" s="739"/>
      <c r="BW20" s="739"/>
      <c r="BX20" s="739"/>
      <c r="BY20" s="739"/>
      <c r="BZ20" s="739"/>
      <c r="CA20" s="739"/>
      <c r="CB20" s="739"/>
      <c r="CC20" s="739"/>
      <c r="CD20" s="739"/>
      <c r="CE20" s="739"/>
      <c r="CF20" s="739"/>
      <c r="CG20" s="739"/>
      <c r="CH20" s="739"/>
      <c r="CI20" s="739"/>
      <c r="CJ20" s="739"/>
      <c r="CK20" s="739"/>
      <c r="CL20" s="739"/>
      <c r="CM20" s="739"/>
      <c r="CN20" s="739"/>
      <c r="CO20" s="739"/>
      <c r="CP20" s="739"/>
      <c r="CQ20" s="739"/>
      <c r="CR20" s="739"/>
      <c r="CS20" s="739"/>
      <c r="CT20" s="739"/>
      <c r="CU20" s="739"/>
      <c r="CV20" s="739"/>
      <c r="CW20" s="739"/>
      <c r="CX20" s="739"/>
      <c r="CY20" s="739"/>
      <c r="CZ20" s="739"/>
      <c r="DA20" s="739"/>
      <c r="DB20" s="739"/>
      <c r="DC20" s="739"/>
      <c r="DD20" s="739"/>
      <c r="DE20" s="739"/>
      <c r="DF20" s="739"/>
      <c r="DG20" s="739"/>
      <c r="DH20" s="739"/>
      <c r="DI20" s="739"/>
      <c r="DJ20" s="739"/>
      <c r="DK20" s="212"/>
    </row>
    <row r="21" spans="1:115" s="196" customFormat="1" ht="9.75" x14ac:dyDescent="0.2">
      <c r="A21" s="213"/>
      <c r="B21" s="213"/>
      <c r="C21" s="213"/>
      <c r="D21" s="213"/>
      <c r="E21" s="213"/>
      <c r="F21" s="213"/>
      <c r="G21" s="740" t="s">
        <v>635</v>
      </c>
      <c r="H21" s="740"/>
      <c r="I21" s="740"/>
      <c r="J21" s="740"/>
      <c r="K21" s="740"/>
      <c r="L21" s="740"/>
      <c r="M21" s="740"/>
      <c r="N21" s="740"/>
      <c r="O21" s="740"/>
      <c r="P21" s="740"/>
      <c r="Q21" s="740"/>
      <c r="R21" s="740"/>
      <c r="S21" s="740"/>
      <c r="T21" s="740"/>
      <c r="U21" s="740"/>
      <c r="V21" s="740"/>
      <c r="W21" s="740"/>
      <c r="X21" s="740"/>
      <c r="Y21" s="740"/>
      <c r="Z21" s="740"/>
      <c r="AA21" s="740"/>
      <c r="AB21" s="740"/>
      <c r="AC21" s="740"/>
      <c r="AD21" s="740"/>
      <c r="AE21" s="740"/>
      <c r="AF21" s="740"/>
      <c r="AG21" s="740"/>
      <c r="AH21" s="740"/>
      <c r="AI21" s="740"/>
      <c r="AJ21" s="740"/>
      <c r="AK21" s="740"/>
      <c r="AL21" s="740"/>
      <c r="AM21" s="740"/>
      <c r="AN21" s="740"/>
      <c r="AO21" s="740"/>
      <c r="AP21" s="740"/>
      <c r="AQ21" s="740"/>
      <c r="AR21" s="740"/>
      <c r="AS21" s="740"/>
      <c r="AT21" s="740"/>
      <c r="AU21" s="740"/>
      <c r="AV21" s="740"/>
      <c r="AW21" s="740"/>
      <c r="AX21" s="740"/>
      <c r="AY21" s="740"/>
      <c r="AZ21" s="740"/>
      <c r="BA21" s="740"/>
      <c r="BB21" s="740"/>
      <c r="BC21" s="740"/>
      <c r="BD21" s="740"/>
      <c r="BE21" s="740"/>
      <c r="BF21" s="740"/>
      <c r="BG21" s="740"/>
      <c r="BH21" s="740"/>
      <c r="BI21" s="740"/>
      <c r="BJ21" s="740"/>
      <c r="BK21" s="740"/>
      <c r="BL21" s="740"/>
      <c r="BM21" s="740"/>
      <c r="BN21" s="740"/>
      <c r="BO21" s="740"/>
      <c r="BP21" s="740"/>
      <c r="BQ21" s="740"/>
      <c r="BR21" s="740"/>
      <c r="BS21" s="740"/>
      <c r="BT21" s="740"/>
      <c r="BU21" s="740"/>
      <c r="BV21" s="740"/>
      <c r="BW21" s="740"/>
      <c r="BX21" s="740"/>
      <c r="BY21" s="740"/>
      <c r="BZ21" s="740"/>
      <c r="CA21" s="740"/>
      <c r="CB21" s="740"/>
      <c r="CC21" s="740"/>
      <c r="CD21" s="740"/>
      <c r="CE21" s="740"/>
      <c r="CF21" s="740"/>
      <c r="CG21" s="740"/>
      <c r="CH21" s="740"/>
      <c r="CI21" s="740"/>
      <c r="CJ21" s="740"/>
      <c r="CK21" s="740"/>
      <c r="CL21" s="740"/>
      <c r="CM21" s="740"/>
      <c r="CN21" s="740"/>
      <c r="CO21" s="740"/>
      <c r="CP21" s="740"/>
      <c r="CQ21" s="740"/>
      <c r="CR21" s="740"/>
      <c r="CS21" s="740"/>
      <c r="CT21" s="740"/>
      <c r="CU21" s="740"/>
      <c r="CV21" s="740"/>
      <c r="CW21" s="740"/>
      <c r="CX21" s="740"/>
      <c r="CY21" s="740"/>
      <c r="CZ21" s="740"/>
      <c r="DA21" s="740"/>
      <c r="DB21" s="740"/>
      <c r="DC21" s="740"/>
      <c r="DD21" s="740"/>
      <c r="DE21" s="740"/>
      <c r="DF21" s="740"/>
      <c r="DG21" s="740"/>
      <c r="DH21" s="740"/>
      <c r="DI21" s="740"/>
      <c r="DJ21" s="740"/>
      <c r="DK21" s="214"/>
    </row>
    <row r="22" spans="1:115" ht="12" customHeight="1" x14ac:dyDescent="0.2">
      <c r="A22" s="211" t="s">
        <v>118</v>
      </c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739"/>
      <c r="M22" s="739"/>
      <c r="N22" s="739"/>
      <c r="O22" s="739"/>
      <c r="P22" s="739"/>
      <c r="Q22" s="739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  <c r="BN22" s="739"/>
      <c r="BO22" s="739"/>
      <c r="BP22" s="739"/>
      <c r="BQ22" s="739"/>
      <c r="BR22" s="739"/>
      <c r="BS22" s="739"/>
      <c r="BT22" s="739"/>
      <c r="BU22" s="739"/>
      <c r="BV22" s="739"/>
      <c r="BW22" s="739"/>
      <c r="BX22" s="739"/>
      <c r="BY22" s="739"/>
      <c r="BZ22" s="739"/>
      <c r="CA22" s="739"/>
      <c r="CB22" s="739"/>
      <c r="CC22" s="739"/>
      <c r="CD22" s="739"/>
      <c r="CE22" s="739"/>
      <c r="CF22" s="739"/>
      <c r="CG22" s="739"/>
      <c r="CH22" s="739"/>
      <c r="CI22" s="739"/>
      <c r="CJ22" s="739"/>
      <c r="CK22" s="739"/>
      <c r="CL22" s="739"/>
      <c r="CM22" s="739"/>
      <c r="CN22" s="739"/>
      <c r="CO22" s="739"/>
      <c r="CP22" s="739"/>
      <c r="CQ22" s="739"/>
      <c r="CR22" s="739"/>
      <c r="CS22" s="739"/>
      <c r="CT22" s="739"/>
      <c r="CU22" s="739"/>
      <c r="CV22" s="739"/>
      <c r="CW22" s="739"/>
      <c r="CX22" s="739"/>
      <c r="CY22" s="739"/>
      <c r="CZ22" s="739"/>
      <c r="DA22" s="739"/>
      <c r="DB22" s="739"/>
      <c r="DC22" s="739"/>
      <c r="DD22" s="739"/>
      <c r="DE22" s="739"/>
      <c r="DF22" s="739"/>
      <c r="DG22" s="739"/>
      <c r="DH22" s="739"/>
      <c r="DI22" s="739"/>
      <c r="DJ22" s="739"/>
      <c r="DK22" s="212"/>
    </row>
    <row r="23" spans="1:115" ht="18" customHeight="1" x14ac:dyDescent="0.2">
      <c r="A23" s="211" t="s">
        <v>636</v>
      </c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742" t="s">
        <v>670</v>
      </c>
      <c r="AA23" s="742"/>
      <c r="AB23" s="742"/>
      <c r="AC23" s="742"/>
      <c r="AD23" s="742"/>
      <c r="AE23" s="742"/>
      <c r="AF23" s="742"/>
      <c r="AG23" s="742"/>
      <c r="AH23" s="742"/>
      <c r="AI23" s="742"/>
      <c r="AJ23" s="742"/>
      <c r="AK23" s="742"/>
      <c r="AL23" s="742"/>
      <c r="AM23" s="742"/>
      <c r="AN23" s="742"/>
      <c r="AO23" s="742"/>
      <c r="AP23" s="742"/>
      <c r="AQ23" s="742"/>
      <c r="AR23" s="742"/>
      <c r="AS23" s="742"/>
      <c r="AT23" s="742"/>
      <c r="AU23" s="742"/>
      <c r="AV23" s="742"/>
      <c r="AW23" s="742"/>
      <c r="AX23" s="211"/>
      <c r="AY23" s="211"/>
      <c r="AZ23" s="742"/>
      <c r="BA23" s="742"/>
      <c r="BB23" s="742"/>
      <c r="BC23" s="742"/>
      <c r="BD23" s="742"/>
      <c r="BE23" s="742"/>
      <c r="BF23" s="742"/>
      <c r="BG23" s="742"/>
      <c r="BH23" s="742"/>
      <c r="BI23" s="742"/>
      <c r="BJ23" s="742"/>
      <c r="BK23" s="742"/>
      <c r="BL23" s="742"/>
      <c r="BM23" s="742"/>
      <c r="BN23" s="742"/>
      <c r="BO23" s="742"/>
      <c r="BP23" s="211"/>
      <c r="BQ23" s="211"/>
      <c r="BR23" s="742" t="str">
        <f>'Пр №1'!A63</f>
        <v>З. М.</v>
      </c>
      <c r="BS23" s="742"/>
      <c r="BT23" s="742"/>
      <c r="BU23" s="742"/>
      <c r="BV23" s="742"/>
      <c r="BW23" s="742"/>
      <c r="BX23" s="742"/>
      <c r="BY23" s="742"/>
      <c r="BZ23" s="742"/>
      <c r="CA23" s="742"/>
      <c r="CB23" s="742"/>
      <c r="CC23" s="742"/>
      <c r="CD23" s="742"/>
      <c r="CE23" s="742"/>
      <c r="CF23" s="742"/>
      <c r="CG23" s="742"/>
      <c r="CH23" s="742"/>
      <c r="CI23" s="742"/>
      <c r="CJ23" s="742"/>
      <c r="CK23" s="742"/>
      <c r="CL23" s="742"/>
      <c r="CM23" s="742"/>
      <c r="CN23" s="742"/>
      <c r="CO23" s="742"/>
      <c r="CP23" s="742"/>
      <c r="CQ23" s="211"/>
      <c r="CR23" s="211"/>
      <c r="CS23" s="211"/>
      <c r="CT23" s="211"/>
      <c r="CU23" s="211"/>
      <c r="CV23" s="211"/>
      <c r="CW23" s="211"/>
      <c r="CX23" s="211"/>
      <c r="CY23" s="211"/>
      <c r="CZ23" s="211"/>
      <c r="DA23" s="211"/>
      <c r="DB23" s="211"/>
      <c r="DC23" s="211"/>
      <c r="DD23" s="211"/>
      <c r="DE23" s="211"/>
      <c r="DF23" s="211"/>
      <c r="DG23" s="211"/>
      <c r="DH23" s="211"/>
      <c r="DI23" s="211"/>
      <c r="DJ23" s="211"/>
      <c r="DK23" s="212"/>
    </row>
    <row r="24" spans="1:115" s="196" customFormat="1" ht="9.75" x14ac:dyDescent="0.2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740" t="s">
        <v>637</v>
      </c>
      <c r="AA24" s="740"/>
      <c r="AB24" s="740"/>
      <c r="AC24" s="740"/>
      <c r="AD24" s="740"/>
      <c r="AE24" s="740"/>
      <c r="AF24" s="740"/>
      <c r="AG24" s="740"/>
      <c r="AH24" s="740"/>
      <c r="AI24" s="740"/>
      <c r="AJ24" s="740"/>
      <c r="AK24" s="740"/>
      <c r="AL24" s="740"/>
      <c r="AM24" s="740"/>
      <c r="AN24" s="740"/>
      <c r="AO24" s="740"/>
      <c r="AP24" s="740"/>
      <c r="AQ24" s="740"/>
      <c r="AR24" s="740"/>
      <c r="AS24" s="740"/>
      <c r="AT24" s="740"/>
      <c r="AU24" s="740"/>
      <c r="AV24" s="740"/>
      <c r="AW24" s="740"/>
      <c r="AX24" s="213"/>
      <c r="AY24" s="213"/>
      <c r="AZ24" s="740" t="s">
        <v>63</v>
      </c>
      <c r="BA24" s="740"/>
      <c r="BB24" s="740"/>
      <c r="BC24" s="740"/>
      <c r="BD24" s="740"/>
      <c r="BE24" s="740"/>
      <c r="BF24" s="740"/>
      <c r="BG24" s="740"/>
      <c r="BH24" s="740"/>
      <c r="BI24" s="740"/>
      <c r="BJ24" s="740"/>
      <c r="BK24" s="740"/>
      <c r="BL24" s="740"/>
      <c r="BM24" s="740"/>
      <c r="BN24" s="740"/>
      <c r="BO24" s="740"/>
      <c r="BP24" s="213"/>
      <c r="BQ24" s="213"/>
      <c r="BR24" s="740" t="s">
        <v>121</v>
      </c>
      <c r="BS24" s="740"/>
      <c r="BT24" s="740"/>
      <c r="BU24" s="740"/>
      <c r="BV24" s="740"/>
      <c r="BW24" s="740"/>
      <c r="BX24" s="740"/>
      <c r="BY24" s="740"/>
      <c r="BZ24" s="740"/>
      <c r="CA24" s="740"/>
      <c r="CB24" s="740"/>
      <c r="CC24" s="740"/>
      <c r="CD24" s="740"/>
      <c r="CE24" s="740"/>
      <c r="CF24" s="740"/>
      <c r="CG24" s="740"/>
      <c r="CH24" s="740"/>
      <c r="CI24" s="740"/>
      <c r="CJ24" s="740"/>
      <c r="CK24" s="740"/>
      <c r="CL24" s="740"/>
      <c r="CM24" s="740"/>
      <c r="CN24" s="740"/>
      <c r="CO24" s="740"/>
      <c r="CP24" s="740"/>
      <c r="CQ24" s="213"/>
      <c r="CR24" s="213"/>
      <c r="CS24" s="213"/>
      <c r="CT24" s="213"/>
      <c r="CU24" s="213"/>
      <c r="CV24" s="213"/>
      <c r="CW24" s="213"/>
      <c r="CX24" s="213"/>
      <c r="CY24" s="213"/>
      <c r="CZ24" s="213"/>
      <c r="DA24" s="213"/>
      <c r="DB24" s="213"/>
      <c r="DC24" s="213"/>
      <c r="DD24" s="213"/>
      <c r="DE24" s="213"/>
      <c r="DF24" s="213"/>
      <c r="DG24" s="213"/>
      <c r="DH24" s="213"/>
      <c r="DI24" s="213"/>
      <c r="DJ24" s="213"/>
      <c r="DK24" s="214"/>
    </row>
    <row r="25" spans="1:115" x14ac:dyDescent="0.2">
      <c r="A25" s="211" t="s">
        <v>120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739"/>
      <c r="T25" s="739"/>
      <c r="U25" s="739"/>
      <c r="V25" s="739"/>
      <c r="W25" s="739"/>
      <c r="X25" s="739"/>
      <c r="Y25" s="739"/>
      <c r="Z25" s="739"/>
      <c r="AA25" s="739"/>
      <c r="AB25" s="739"/>
      <c r="AC25" s="739"/>
      <c r="AD25" s="739"/>
      <c r="AE25" s="739"/>
      <c r="AF25" s="739"/>
      <c r="AG25" s="739"/>
      <c r="AH25" s="739"/>
      <c r="AI25" s="211"/>
      <c r="AJ25" s="211"/>
      <c r="AK25" s="739" t="str">
        <f>ПКО!CG36</f>
        <v>Купрей А. А.</v>
      </c>
      <c r="AL25" s="739"/>
      <c r="AM25" s="739"/>
      <c r="AN25" s="739"/>
      <c r="AO25" s="739"/>
      <c r="AP25" s="739"/>
      <c r="AQ25" s="739"/>
      <c r="AR25" s="739"/>
      <c r="AS25" s="739"/>
      <c r="AT25" s="739"/>
      <c r="AU25" s="739"/>
      <c r="AV25" s="739"/>
      <c r="AW25" s="739"/>
      <c r="AX25" s="739"/>
      <c r="AY25" s="739"/>
      <c r="AZ25" s="739"/>
      <c r="BA25" s="739"/>
      <c r="BB25" s="739"/>
      <c r="BC25" s="739"/>
      <c r="BD25" s="739"/>
      <c r="BE25" s="739"/>
      <c r="BF25" s="739"/>
      <c r="BG25" s="739"/>
      <c r="BH25" s="739"/>
      <c r="BI25" s="739"/>
      <c r="BJ25" s="211"/>
      <c r="BK25" s="211"/>
      <c r="BL25" s="211"/>
      <c r="BM25" s="211"/>
      <c r="BN25" s="211"/>
      <c r="BO25" s="211"/>
      <c r="BP25" s="211"/>
      <c r="BQ25" s="211"/>
      <c r="BR25" s="211"/>
      <c r="BS25" s="211"/>
      <c r="BT25" s="211"/>
      <c r="BU25" s="211"/>
      <c r="BV25" s="211"/>
      <c r="BW25" s="211"/>
      <c r="BX25" s="211"/>
      <c r="BY25" s="211"/>
      <c r="BZ25" s="211"/>
      <c r="CA25" s="211"/>
      <c r="CB25" s="211"/>
      <c r="CC25" s="211"/>
      <c r="CD25" s="211"/>
      <c r="CE25" s="211"/>
      <c r="CF25" s="211"/>
      <c r="CG25" s="211"/>
      <c r="CH25" s="211"/>
      <c r="CI25" s="211"/>
      <c r="CJ25" s="211"/>
      <c r="CK25" s="211"/>
      <c r="CL25" s="211"/>
      <c r="CM25" s="211"/>
      <c r="CN25" s="211"/>
      <c r="CO25" s="211"/>
      <c r="CP25" s="211"/>
      <c r="CQ25" s="211"/>
      <c r="CR25" s="211"/>
      <c r="CS25" s="211"/>
      <c r="CT25" s="211"/>
      <c r="CU25" s="211"/>
      <c r="CV25" s="211"/>
      <c r="CW25" s="211"/>
      <c r="CX25" s="211"/>
      <c r="CY25" s="211"/>
      <c r="CZ25" s="211"/>
      <c r="DA25" s="211"/>
      <c r="DB25" s="211"/>
      <c r="DC25" s="211"/>
      <c r="DD25" s="211"/>
      <c r="DE25" s="211"/>
      <c r="DF25" s="211"/>
      <c r="DG25" s="211"/>
      <c r="DH25" s="211"/>
      <c r="DI25" s="211"/>
      <c r="DJ25" s="211"/>
      <c r="DK25" s="212"/>
    </row>
    <row r="26" spans="1:115" s="196" customFormat="1" ht="9.75" x14ac:dyDescent="0.2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740" t="s">
        <v>63</v>
      </c>
      <c r="T26" s="740"/>
      <c r="U26" s="740"/>
      <c r="V26" s="740"/>
      <c r="W26" s="740"/>
      <c r="X26" s="740"/>
      <c r="Y26" s="740"/>
      <c r="Z26" s="740"/>
      <c r="AA26" s="740"/>
      <c r="AB26" s="740"/>
      <c r="AC26" s="740"/>
      <c r="AD26" s="740"/>
      <c r="AE26" s="740"/>
      <c r="AF26" s="740"/>
      <c r="AG26" s="740"/>
      <c r="AH26" s="740"/>
      <c r="AI26" s="213"/>
      <c r="AJ26" s="213"/>
      <c r="AK26" s="740" t="s">
        <v>121</v>
      </c>
      <c r="AL26" s="740"/>
      <c r="AM26" s="740"/>
      <c r="AN26" s="740"/>
      <c r="AO26" s="740"/>
      <c r="AP26" s="740"/>
      <c r="AQ26" s="740"/>
      <c r="AR26" s="740"/>
      <c r="AS26" s="740"/>
      <c r="AT26" s="740"/>
      <c r="AU26" s="740"/>
      <c r="AV26" s="740"/>
      <c r="AW26" s="740"/>
      <c r="AX26" s="740"/>
      <c r="AY26" s="740"/>
      <c r="AZ26" s="740"/>
      <c r="BA26" s="740"/>
      <c r="BB26" s="740"/>
      <c r="BC26" s="740"/>
      <c r="BD26" s="740"/>
      <c r="BE26" s="740"/>
      <c r="BF26" s="740"/>
      <c r="BG26" s="740"/>
      <c r="BH26" s="740"/>
      <c r="BI26" s="740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  <c r="CE26" s="213"/>
      <c r="CF26" s="213"/>
      <c r="CG26" s="213"/>
      <c r="CH26" s="213"/>
      <c r="CI26" s="213"/>
      <c r="CJ26" s="213"/>
      <c r="CK26" s="213"/>
      <c r="CL26" s="213"/>
      <c r="CM26" s="213"/>
      <c r="CN26" s="213"/>
      <c r="CO26" s="213"/>
      <c r="CP26" s="213"/>
      <c r="CQ26" s="213"/>
      <c r="CR26" s="213"/>
      <c r="CS26" s="213"/>
      <c r="CT26" s="213"/>
      <c r="CU26" s="213"/>
      <c r="CV26" s="213"/>
      <c r="CW26" s="213"/>
      <c r="CX26" s="213"/>
      <c r="CY26" s="213"/>
      <c r="CZ26" s="213"/>
      <c r="DA26" s="213"/>
      <c r="DB26" s="213"/>
      <c r="DC26" s="213"/>
      <c r="DD26" s="213"/>
      <c r="DE26" s="213"/>
      <c r="DF26" s="213"/>
      <c r="DG26" s="213"/>
      <c r="DH26" s="213"/>
      <c r="DI26" s="213"/>
      <c r="DJ26" s="213"/>
      <c r="DK26" s="214"/>
    </row>
    <row r="27" spans="1:115" x14ac:dyDescent="0.2">
      <c r="A27" s="211" t="s">
        <v>638</v>
      </c>
      <c r="B27" s="211"/>
      <c r="C27" s="211"/>
      <c r="D27" s="211"/>
      <c r="E27" s="211"/>
      <c r="F27" s="211"/>
      <c r="G27" s="211"/>
      <c r="H27" s="211"/>
      <c r="I27" s="739" t="e">
        <f ca="1">G20</f>
        <v>#NAME?</v>
      </c>
      <c r="J27" s="739"/>
      <c r="K27" s="739"/>
      <c r="L27" s="739"/>
      <c r="M27" s="739"/>
      <c r="N27" s="739"/>
      <c r="O27" s="739"/>
      <c r="P27" s="739"/>
      <c r="Q27" s="739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  <c r="BN27" s="739"/>
      <c r="BO27" s="739"/>
      <c r="BP27" s="739"/>
      <c r="BQ27" s="739"/>
      <c r="BR27" s="739"/>
      <c r="BS27" s="739"/>
      <c r="BT27" s="739"/>
      <c r="BU27" s="739"/>
      <c r="BV27" s="739"/>
      <c r="BW27" s="739"/>
      <c r="BX27" s="739"/>
      <c r="BY27" s="739"/>
      <c r="BZ27" s="739"/>
      <c r="CA27" s="739"/>
      <c r="CB27" s="739"/>
      <c r="CC27" s="739"/>
      <c r="CD27" s="739"/>
      <c r="CE27" s="739"/>
      <c r="CF27" s="739"/>
      <c r="CG27" s="739"/>
      <c r="CH27" s="739"/>
      <c r="CI27" s="739"/>
      <c r="CJ27" s="739"/>
      <c r="CK27" s="739"/>
      <c r="CL27" s="739"/>
      <c r="CM27" s="739"/>
      <c r="CN27" s="739"/>
      <c r="CO27" s="739"/>
      <c r="CP27" s="739"/>
      <c r="CQ27" s="739"/>
      <c r="CR27" s="739"/>
      <c r="CS27" s="739"/>
      <c r="CT27" s="739"/>
      <c r="CU27" s="739"/>
      <c r="CV27" s="739"/>
      <c r="CW27" s="739"/>
      <c r="CX27" s="739"/>
      <c r="CY27" s="739"/>
      <c r="CZ27" s="739"/>
      <c r="DA27" s="739"/>
      <c r="DB27" s="739"/>
      <c r="DC27" s="739"/>
      <c r="DD27" s="739"/>
      <c r="DE27" s="739"/>
      <c r="DF27" s="739"/>
      <c r="DG27" s="739"/>
      <c r="DH27" s="739"/>
      <c r="DI27" s="739"/>
      <c r="DJ27" s="739"/>
      <c r="DK27" s="212"/>
    </row>
    <row r="28" spans="1:115" s="196" customFormat="1" ht="9.75" x14ac:dyDescent="0.2">
      <c r="A28" s="213"/>
      <c r="B28" s="213"/>
      <c r="C28" s="213"/>
      <c r="D28" s="213"/>
      <c r="E28" s="213"/>
      <c r="F28" s="213"/>
      <c r="G28" s="213"/>
      <c r="H28" s="213"/>
      <c r="I28" s="741" t="s">
        <v>639</v>
      </c>
      <c r="J28" s="741"/>
      <c r="K28" s="741"/>
      <c r="L28" s="741"/>
      <c r="M28" s="741"/>
      <c r="N28" s="741"/>
      <c r="O28" s="741"/>
      <c r="P28" s="741"/>
      <c r="Q28" s="741"/>
      <c r="R28" s="741"/>
      <c r="S28" s="741"/>
      <c r="T28" s="741"/>
      <c r="U28" s="741"/>
      <c r="V28" s="741"/>
      <c r="W28" s="741"/>
      <c r="X28" s="741"/>
      <c r="Y28" s="741"/>
      <c r="Z28" s="741"/>
      <c r="AA28" s="741"/>
      <c r="AB28" s="741"/>
      <c r="AC28" s="741"/>
      <c r="AD28" s="741"/>
      <c r="AE28" s="741"/>
      <c r="AF28" s="741"/>
      <c r="AG28" s="741"/>
      <c r="AH28" s="741"/>
      <c r="AI28" s="741"/>
      <c r="AJ28" s="741"/>
      <c r="AK28" s="741"/>
      <c r="AL28" s="741"/>
      <c r="AM28" s="741"/>
      <c r="AN28" s="741"/>
      <c r="AO28" s="741"/>
      <c r="AP28" s="741"/>
      <c r="AQ28" s="741"/>
      <c r="AR28" s="741"/>
      <c r="AS28" s="741"/>
      <c r="AT28" s="741"/>
      <c r="AU28" s="741"/>
      <c r="AV28" s="741"/>
      <c r="AW28" s="741"/>
      <c r="AX28" s="741"/>
      <c r="AY28" s="741"/>
      <c r="AZ28" s="741"/>
      <c r="BA28" s="741"/>
      <c r="BB28" s="741"/>
      <c r="BC28" s="741"/>
      <c r="BD28" s="741"/>
      <c r="BE28" s="741"/>
      <c r="BF28" s="741"/>
      <c r="BG28" s="741"/>
      <c r="BH28" s="741"/>
      <c r="BI28" s="741"/>
      <c r="BJ28" s="741"/>
      <c r="BK28" s="741"/>
      <c r="BL28" s="741"/>
      <c r="BM28" s="741"/>
      <c r="BN28" s="741"/>
      <c r="BO28" s="741"/>
      <c r="BP28" s="741"/>
      <c r="BQ28" s="741"/>
      <c r="BR28" s="741"/>
      <c r="BS28" s="741"/>
      <c r="BT28" s="741"/>
      <c r="BU28" s="741"/>
      <c r="BV28" s="741"/>
      <c r="BW28" s="741"/>
      <c r="BX28" s="741"/>
      <c r="BY28" s="741"/>
      <c r="BZ28" s="741"/>
      <c r="CA28" s="741"/>
      <c r="CB28" s="741"/>
      <c r="CC28" s="741"/>
      <c r="CD28" s="741"/>
      <c r="CE28" s="741"/>
      <c r="CF28" s="741"/>
      <c r="CG28" s="741"/>
      <c r="CH28" s="741"/>
      <c r="CI28" s="741"/>
      <c r="CJ28" s="741"/>
      <c r="CK28" s="741"/>
      <c r="CL28" s="741"/>
      <c r="CM28" s="741"/>
      <c r="CN28" s="741"/>
      <c r="CO28" s="741"/>
      <c r="CP28" s="741"/>
      <c r="CQ28" s="741"/>
      <c r="CR28" s="741"/>
      <c r="CS28" s="741"/>
      <c r="CT28" s="741"/>
      <c r="CU28" s="741"/>
      <c r="CV28" s="741"/>
      <c r="CW28" s="741"/>
      <c r="CX28" s="741"/>
      <c r="CY28" s="741"/>
      <c r="CZ28" s="741"/>
      <c r="DA28" s="741"/>
      <c r="DB28" s="741"/>
      <c r="DC28" s="741"/>
      <c r="DD28" s="741"/>
      <c r="DE28" s="741"/>
      <c r="DF28" s="741"/>
      <c r="DG28" s="741"/>
      <c r="DH28" s="741"/>
      <c r="DI28" s="741"/>
      <c r="DJ28" s="741"/>
      <c r="DK28" s="214"/>
    </row>
    <row r="29" spans="1:115" ht="17.25" customHeight="1" x14ac:dyDescent="0.2">
      <c r="A29" s="211" t="s">
        <v>640</v>
      </c>
      <c r="B29" s="211"/>
      <c r="C29" s="739">
        <f ca="1">BU11</f>
        <v>9</v>
      </c>
      <c r="D29" s="739"/>
      <c r="E29" s="739"/>
      <c r="F29" s="739"/>
      <c r="G29" s="215" t="s">
        <v>640</v>
      </c>
      <c r="H29" s="215"/>
      <c r="I29" s="215"/>
      <c r="J29" s="739" t="str">
        <f ca="1">Дог.!L13</f>
        <v>Январь</v>
      </c>
      <c r="K29" s="739"/>
      <c r="L29" s="739"/>
      <c r="M29" s="739"/>
      <c r="N29" s="739"/>
      <c r="O29" s="739"/>
      <c r="P29" s="739"/>
      <c r="Q29" s="739"/>
      <c r="R29" s="739"/>
      <c r="S29" s="739"/>
      <c r="T29" s="739"/>
      <c r="U29" s="739"/>
      <c r="V29" s="739"/>
      <c r="W29" s="739"/>
      <c r="X29" s="739"/>
      <c r="Y29" s="739"/>
      <c r="Z29" s="739"/>
      <c r="AA29" s="739"/>
      <c r="AB29" s="215"/>
      <c r="AC29" s="739">
        <f ca="1">CD11</f>
        <v>2026</v>
      </c>
      <c r="AD29" s="739"/>
      <c r="AE29" s="739"/>
      <c r="AF29" s="739"/>
      <c r="AG29" s="739"/>
      <c r="AH29" s="739"/>
      <c r="AI29" s="739"/>
      <c r="AJ29" s="211" t="s">
        <v>641</v>
      </c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 t="s">
        <v>642</v>
      </c>
      <c r="BB29" s="211"/>
      <c r="BC29" s="211"/>
      <c r="BD29" s="211"/>
      <c r="BE29" s="211"/>
      <c r="BF29" s="211"/>
      <c r="BG29" s="211"/>
      <c r="BH29" s="211"/>
      <c r="BI29" s="211"/>
      <c r="BJ29" s="739"/>
      <c r="BK29" s="739"/>
      <c r="BL29" s="739"/>
      <c r="BM29" s="739"/>
      <c r="BN29" s="739"/>
      <c r="BO29" s="739"/>
      <c r="BP29" s="739"/>
      <c r="BQ29" s="739"/>
      <c r="BR29" s="739"/>
      <c r="BS29" s="739"/>
      <c r="BT29" s="739"/>
      <c r="BU29" s="739"/>
      <c r="BV29" s="739"/>
      <c r="BW29" s="739"/>
      <c r="BX29" s="739"/>
      <c r="BY29" s="739"/>
      <c r="BZ29" s="739"/>
      <c r="CA29" s="739"/>
      <c r="CB29" s="211"/>
      <c r="CC29" s="211"/>
      <c r="CD29" s="211"/>
      <c r="CE29" s="211"/>
      <c r="CF29" s="211"/>
      <c r="CG29" s="211"/>
      <c r="CH29" s="211"/>
      <c r="CI29" s="211"/>
      <c r="CJ29" s="211"/>
      <c r="CK29" s="211"/>
      <c r="CL29" s="211"/>
      <c r="CM29" s="211"/>
      <c r="CN29" s="211"/>
      <c r="CO29" s="211"/>
      <c r="CP29" s="211"/>
      <c r="CQ29" s="211"/>
      <c r="CR29" s="211"/>
      <c r="CS29" s="211"/>
      <c r="CT29" s="211"/>
      <c r="CU29" s="211"/>
      <c r="CV29" s="211"/>
      <c r="CW29" s="211"/>
      <c r="CX29" s="211"/>
      <c r="CY29" s="211"/>
      <c r="CZ29" s="211"/>
      <c r="DA29" s="211"/>
      <c r="DB29" s="211"/>
      <c r="DC29" s="211"/>
      <c r="DD29" s="211"/>
      <c r="DE29" s="211"/>
      <c r="DF29" s="211"/>
      <c r="DG29" s="211"/>
      <c r="DH29" s="211"/>
      <c r="DI29" s="211"/>
      <c r="DJ29" s="211"/>
      <c r="DK29" s="212"/>
    </row>
    <row r="30" spans="1:115" ht="21" customHeight="1" x14ac:dyDescent="0.2">
      <c r="A30" s="211" t="s">
        <v>643</v>
      </c>
      <c r="B30" s="211"/>
      <c r="C30" s="211"/>
      <c r="D30" s="739" t="s">
        <v>645</v>
      </c>
      <c r="E30" s="739"/>
      <c r="F30" s="739"/>
      <c r="G30" s="739"/>
      <c r="H30" s="739"/>
      <c r="I30" s="739"/>
      <c r="J30" s="739"/>
      <c r="K30" s="739"/>
      <c r="L30" s="739"/>
      <c r="M30" s="739"/>
      <c r="N30" s="739"/>
      <c r="O30" s="739"/>
      <c r="P30" s="739"/>
      <c r="Q30" s="739"/>
      <c r="R30" s="742" t="str">
        <f>Дог.!E19</f>
        <v>ХХХ</v>
      </c>
      <c r="S30" s="742"/>
      <c r="T30" s="742"/>
      <c r="U30" s="742"/>
      <c r="V30" s="742" t="str">
        <f>Дог.!F19</f>
        <v>№</v>
      </c>
      <c r="W30" s="742"/>
      <c r="X30" s="742"/>
      <c r="Y30" s="742"/>
      <c r="Z30" s="739" t="str">
        <f>Дог.!G19</f>
        <v>ХХХХХ</v>
      </c>
      <c r="AA30" s="739"/>
      <c r="AB30" s="739"/>
      <c r="AC30" s="739"/>
      <c r="AD30" s="739"/>
      <c r="AE30" s="739"/>
      <c r="AF30" s="739"/>
      <c r="AG30" s="739"/>
      <c r="AH30" s="739"/>
      <c r="AI30" s="739"/>
      <c r="AJ30" s="739" t="str">
        <f>Дог.!I19</f>
        <v>выдан</v>
      </c>
      <c r="AK30" s="739"/>
      <c r="AL30" s="739"/>
      <c r="AM30" s="739"/>
      <c r="AN30" s="739"/>
      <c r="AO30" s="739"/>
      <c r="AP30" s="739"/>
      <c r="AQ30" s="739"/>
      <c r="AR30" s="739"/>
      <c r="AS30" s="739" t="str">
        <f>Дог.!J19</f>
        <v>МКК</v>
      </c>
      <c r="AT30" s="739"/>
      <c r="AU30" s="739"/>
      <c r="AV30" s="739"/>
      <c r="AW30" s="739"/>
      <c r="AX30" s="739"/>
      <c r="AY30" s="739" t="str">
        <f>Дог.!K19</f>
        <v>ХХХХ</v>
      </c>
      <c r="AZ30" s="739"/>
      <c r="BA30" s="739"/>
      <c r="BB30" s="739"/>
      <c r="BC30" s="739"/>
      <c r="BD30" s="739"/>
      <c r="BE30" s="739"/>
      <c r="BF30" s="739"/>
      <c r="BG30" s="739" t="str">
        <f>Дог.!L19</f>
        <v>от</v>
      </c>
      <c r="BH30" s="739"/>
      <c r="BI30" s="739"/>
      <c r="BJ30" s="739"/>
      <c r="BK30" s="739"/>
      <c r="BL30" s="783" t="str">
        <f>Дог.!M19</f>
        <v>ХХХХ</v>
      </c>
      <c r="BM30" s="742"/>
      <c r="BN30" s="742"/>
      <c r="BO30" s="742"/>
      <c r="BP30" s="742"/>
      <c r="BQ30" s="742"/>
      <c r="BR30" s="742"/>
      <c r="BS30" s="742"/>
      <c r="BT30" s="742"/>
      <c r="BU30" s="739" t="str">
        <f>Дог.!N19</f>
        <v>зарегистрированный(-ая)</v>
      </c>
      <c r="BV30" s="739"/>
      <c r="BW30" s="739"/>
      <c r="BX30" s="739"/>
      <c r="BY30" s="739"/>
      <c r="BZ30" s="739"/>
      <c r="CA30" s="739"/>
      <c r="CB30" s="739"/>
      <c r="CC30" s="739"/>
      <c r="CD30" s="739"/>
      <c r="CE30" s="739"/>
      <c r="CF30" s="739"/>
      <c r="CG30" s="739"/>
      <c r="CH30" s="739"/>
      <c r="CI30" s="739"/>
      <c r="CJ30" s="739"/>
      <c r="CK30" s="739"/>
      <c r="CL30" s="739"/>
      <c r="CM30" s="739"/>
      <c r="CN30" s="739"/>
      <c r="CO30" s="739"/>
      <c r="CP30" s="739" t="str">
        <f>Дог.!A20</f>
        <v>по адресу:</v>
      </c>
      <c r="CQ30" s="739"/>
      <c r="CR30" s="739"/>
      <c r="CS30" s="739"/>
      <c r="CT30" s="739"/>
      <c r="CU30" s="739"/>
      <c r="CV30" s="739"/>
      <c r="CW30" s="739"/>
      <c r="CX30" s="739"/>
      <c r="CY30" s="739"/>
      <c r="CZ30" s="739"/>
      <c r="DA30" s="739"/>
      <c r="DB30" s="198"/>
      <c r="DC30" s="198"/>
      <c r="DD30" s="198"/>
      <c r="DE30" s="198"/>
      <c r="DF30" s="198"/>
      <c r="DG30" s="198"/>
      <c r="DH30" s="198"/>
      <c r="DI30" s="198"/>
      <c r="DJ30" s="198"/>
      <c r="DK30" s="212"/>
    </row>
    <row r="31" spans="1:115" s="196" customFormat="1" ht="9.75" x14ac:dyDescent="0.2">
      <c r="A31" s="213"/>
      <c r="B31" s="213"/>
      <c r="C31" s="213"/>
      <c r="D31" s="740" t="s">
        <v>648</v>
      </c>
      <c r="E31" s="740"/>
      <c r="F31" s="740"/>
      <c r="G31" s="740"/>
      <c r="H31" s="740"/>
      <c r="I31" s="740"/>
      <c r="J31" s="740"/>
      <c r="K31" s="740"/>
      <c r="L31" s="740"/>
      <c r="M31" s="740"/>
      <c r="N31" s="740"/>
      <c r="O31" s="740"/>
      <c r="P31" s="740"/>
      <c r="Q31" s="740"/>
      <c r="R31" s="740"/>
      <c r="S31" s="740"/>
      <c r="T31" s="740"/>
      <c r="U31" s="740"/>
      <c r="V31" s="740"/>
      <c r="W31" s="740"/>
      <c r="X31" s="740"/>
      <c r="Y31" s="740"/>
      <c r="Z31" s="740"/>
      <c r="AA31" s="740"/>
      <c r="AB31" s="740"/>
      <c r="AC31" s="740"/>
      <c r="AD31" s="740"/>
      <c r="AE31" s="740"/>
      <c r="AF31" s="740"/>
      <c r="AG31" s="740"/>
      <c r="AH31" s="740"/>
      <c r="AI31" s="740"/>
      <c r="AJ31" s="740"/>
      <c r="AK31" s="740"/>
      <c r="AL31" s="740"/>
      <c r="AM31" s="740"/>
      <c r="AN31" s="740"/>
      <c r="AO31" s="740"/>
      <c r="AP31" s="740"/>
      <c r="AQ31" s="740"/>
      <c r="AR31" s="740"/>
      <c r="AS31" s="740"/>
      <c r="AT31" s="740"/>
      <c r="AU31" s="740"/>
      <c r="AV31" s="740"/>
      <c r="AW31" s="740"/>
      <c r="AX31" s="740"/>
      <c r="AY31" s="740"/>
      <c r="AZ31" s="740"/>
      <c r="BA31" s="740"/>
      <c r="BB31" s="740"/>
      <c r="BC31" s="740"/>
      <c r="BD31" s="740"/>
      <c r="BE31" s="740"/>
      <c r="BF31" s="740"/>
      <c r="BG31" s="740"/>
      <c r="BH31" s="740"/>
      <c r="BI31" s="740"/>
      <c r="BJ31" s="740"/>
      <c r="BK31" s="740"/>
      <c r="BL31" s="740"/>
      <c r="BM31" s="740"/>
      <c r="BN31" s="740"/>
      <c r="BO31" s="740"/>
      <c r="BP31" s="740"/>
      <c r="BQ31" s="740"/>
      <c r="BR31" s="740"/>
      <c r="BS31" s="740"/>
      <c r="BT31" s="740"/>
      <c r="BU31" s="740"/>
      <c r="BV31" s="740"/>
      <c r="BW31" s="740"/>
      <c r="BX31" s="740"/>
      <c r="BY31" s="740"/>
      <c r="BZ31" s="740"/>
      <c r="CA31" s="740"/>
      <c r="CB31" s="740"/>
      <c r="CC31" s="740"/>
      <c r="CD31" s="740"/>
      <c r="CE31" s="740"/>
      <c r="CF31" s="740"/>
      <c r="CG31" s="740"/>
      <c r="CH31" s="740"/>
      <c r="CI31" s="740"/>
      <c r="CJ31" s="740"/>
      <c r="CK31" s="740"/>
      <c r="CL31" s="740"/>
      <c r="CM31" s="740"/>
      <c r="CN31" s="740"/>
      <c r="CO31" s="740"/>
      <c r="CP31" s="740"/>
      <c r="CQ31" s="740"/>
      <c r="CR31" s="740"/>
      <c r="CS31" s="740"/>
      <c r="CT31" s="740"/>
      <c r="CU31" s="740"/>
      <c r="CV31" s="740"/>
      <c r="CW31" s="740"/>
      <c r="CX31" s="740"/>
      <c r="CY31" s="740"/>
      <c r="CZ31" s="740"/>
      <c r="DA31" s="740"/>
      <c r="DB31" s="740"/>
      <c r="DC31" s="740"/>
      <c r="DD31" s="740"/>
      <c r="DE31" s="740"/>
      <c r="DF31" s="740"/>
      <c r="DG31" s="740"/>
      <c r="DH31" s="740"/>
      <c r="DI31" s="740"/>
      <c r="DJ31" s="740"/>
      <c r="DK31" s="214"/>
    </row>
    <row r="32" spans="1:115" ht="12" customHeight="1" x14ac:dyDescent="0.2">
      <c r="A32" s="739" t="str">
        <f>Дог.!C20</f>
        <v>Чуйская область г. Бишкек</v>
      </c>
      <c r="B32" s="739"/>
      <c r="C32" s="739"/>
      <c r="D32" s="739"/>
      <c r="E32" s="739"/>
      <c r="F32" s="739"/>
      <c r="G32" s="739"/>
      <c r="H32" s="739"/>
      <c r="I32" s="739"/>
      <c r="J32" s="739"/>
      <c r="K32" s="739"/>
      <c r="L32" s="739"/>
      <c r="M32" s="739"/>
      <c r="N32" s="739"/>
      <c r="O32" s="739"/>
      <c r="P32" s="739"/>
      <c r="Q32" s="739"/>
      <c r="R32" s="739"/>
      <c r="S32" s="739"/>
      <c r="T32" s="739"/>
      <c r="U32" s="739"/>
      <c r="V32" s="739"/>
      <c r="W32" s="739"/>
      <c r="X32" s="739"/>
      <c r="Y32" s="739"/>
      <c r="Z32" s="739"/>
      <c r="AA32" s="739"/>
      <c r="AB32" s="739"/>
      <c r="AC32" s="739"/>
      <c r="AD32" s="739"/>
      <c r="AE32" s="739"/>
      <c r="AF32" s="739"/>
      <c r="AG32" s="739"/>
      <c r="AH32" s="739"/>
      <c r="AI32" s="739"/>
      <c r="AJ32" s="739"/>
      <c r="AK32" s="739"/>
      <c r="AL32" s="739"/>
      <c r="AM32" s="739"/>
      <c r="AN32" s="739"/>
      <c r="AO32" s="739"/>
      <c r="AP32" s="739"/>
      <c r="AQ32" s="739"/>
      <c r="AR32" s="739"/>
      <c r="AS32" s="739"/>
      <c r="AT32" s="739"/>
      <c r="AU32" s="739"/>
      <c r="AV32" s="739"/>
      <c r="AW32" s="739"/>
      <c r="AX32" s="739"/>
      <c r="AY32" s="739"/>
      <c r="AZ32" s="739"/>
      <c r="BA32" s="739"/>
      <c r="BB32" s="739"/>
      <c r="BC32" s="739"/>
      <c r="BD32" s="739"/>
      <c r="BE32" s="739"/>
      <c r="BF32" s="739"/>
      <c r="BG32" s="739" t="str">
        <f>Дог.!J20</f>
        <v>ул. ХХХХХ</v>
      </c>
      <c r="BH32" s="739"/>
      <c r="BI32" s="739"/>
      <c r="BJ32" s="739"/>
      <c r="BK32" s="739"/>
      <c r="BL32" s="739"/>
      <c r="BM32" s="739"/>
      <c r="BN32" s="739"/>
      <c r="BO32" s="739"/>
      <c r="BP32" s="739"/>
      <c r="BQ32" s="739"/>
      <c r="BR32" s="739"/>
      <c r="BS32" s="739"/>
      <c r="BT32" s="739"/>
      <c r="BU32" s="739"/>
      <c r="BV32" s="739"/>
      <c r="BW32" s="739"/>
      <c r="BX32" s="739"/>
      <c r="BY32" s="739"/>
      <c r="BZ32" s="739"/>
      <c r="CA32" s="739"/>
      <c r="CB32" s="739"/>
      <c r="CC32" s="739"/>
      <c r="CD32" s="739"/>
      <c r="CE32" s="739"/>
      <c r="CF32" s="739"/>
      <c r="CG32" s="739"/>
      <c r="CH32" s="739"/>
      <c r="CI32" s="739"/>
      <c r="CJ32" s="739"/>
      <c r="CK32" s="739"/>
      <c r="CL32" s="739"/>
      <c r="CM32" s="739"/>
      <c r="CN32" s="739"/>
      <c r="CO32" s="739"/>
      <c r="CP32" s="739"/>
      <c r="CQ32" s="739"/>
      <c r="CR32" s="739"/>
      <c r="CS32" s="739"/>
      <c r="CT32" s="739"/>
      <c r="CU32" s="739"/>
      <c r="CV32" s="739"/>
      <c r="CW32" s="739"/>
      <c r="CX32" s="739"/>
      <c r="CY32" s="739"/>
      <c r="CZ32" s="739"/>
      <c r="DA32" s="739"/>
      <c r="DB32" s="739"/>
      <c r="DC32" s="739"/>
      <c r="DD32" s="739"/>
      <c r="DE32" s="739"/>
      <c r="DF32" s="739"/>
      <c r="DG32" s="739"/>
      <c r="DH32" s="739"/>
      <c r="DI32" s="739"/>
      <c r="DJ32" s="739"/>
      <c r="DK32" s="212"/>
    </row>
    <row r="33" spans="1:115" s="196" customFormat="1" ht="9.75" x14ac:dyDescent="0.2">
      <c r="A33" s="740"/>
      <c r="B33" s="740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0"/>
      <c r="P33" s="740"/>
      <c r="Q33" s="740"/>
      <c r="R33" s="740"/>
      <c r="S33" s="740"/>
      <c r="T33" s="740"/>
      <c r="U33" s="740"/>
      <c r="V33" s="740"/>
      <c r="W33" s="740"/>
      <c r="X33" s="740"/>
      <c r="Y33" s="740"/>
      <c r="Z33" s="740"/>
      <c r="AA33" s="740"/>
      <c r="AB33" s="740"/>
      <c r="AC33" s="740"/>
      <c r="AD33" s="740"/>
      <c r="AE33" s="740"/>
      <c r="AF33" s="740"/>
      <c r="AG33" s="740"/>
      <c r="AH33" s="740"/>
      <c r="AI33" s="740"/>
      <c r="AJ33" s="740"/>
      <c r="AK33" s="740"/>
      <c r="AL33" s="740"/>
      <c r="AM33" s="740"/>
      <c r="AN33" s="740"/>
      <c r="AO33" s="740"/>
      <c r="AP33" s="740"/>
      <c r="AQ33" s="740"/>
      <c r="AR33" s="740"/>
      <c r="AS33" s="740"/>
      <c r="AT33" s="740"/>
      <c r="AU33" s="740"/>
      <c r="AV33" s="740"/>
      <c r="AW33" s="740"/>
      <c r="AX33" s="740"/>
      <c r="AY33" s="740"/>
      <c r="AZ33" s="740"/>
      <c r="BA33" s="740"/>
      <c r="BB33" s="740"/>
      <c r="BC33" s="740"/>
      <c r="BD33" s="740"/>
      <c r="BE33" s="740"/>
      <c r="BF33" s="740"/>
      <c r="BG33" s="740"/>
      <c r="BH33" s="740"/>
      <c r="BI33" s="740"/>
      <c r="BJ33" s="740"/>
      <c r="BK33" s="740"/>
      <c r="BL33" s="740"/>
      <c r="BM33" s="740"/>
      <c r="BN33" s="740"/>
      <c r="BO33" s="740"/>
      <c r="BP33" s="740"/>
      <c r="BQ33" s="740"/>
      <c r="BR33" s="740"/>
      <c r="BS33" s="740"/>
      <c r="BT33" s="740"/>
      <c r="BU33" s="740"/>
      <c r="BV33" s="740"/>
      <c r="BW33" s="740"/>
      <c r="BX33" s="740"/>
      <c r="BY33" s="740"/>
      <c r="BZ33" s="740"/>
      <c r="CA33" s="740"/>
      <c r="CB33" s="740"/>
      <c r="CC33" s="740"/>
      <c r="CD33" s="740"/>
      <c r="CE33" s="740"/>
      <c r="CF33" s="740"/>
      <c r="CG33" s="740"/>
      <c r="CH33" s="740"/>
      <c r="CI33" s="740"/>
      <c r="CJ33" s="740"/>
      <c r="CK33" s="740"/>
      <c r="CL33" s="740"/>
      <c r="CM33" s="740"/>
      <c r="CN33" s="740"/>
      <c r="CO33" s="740"/>
      <c r="CP33" s="740"/>
      <c r="CQ33" s="740"/>
      <c r="CR33" s="740"/>
      <c r="CS33" s="740"/>
      <c r="CT33" s="740"/>
      <c r="CU33" s="740"/>
      <c r="CV33" s="740"/>
      <c r="CW33" s="740"/>
      <c r="CX33" s="740"/>
      <c r="CY33" s="740"/>
      <c r="CZ33" s="740"/>
      <c r="DA33" s="740"/>
      <c r="DB33" s="740"/>
      <c r="DC33" s="740"/>
      <c r="DD33" s="740"/>
      <c r="DE33" s="740"/>
      <c r="DF33" s="740"/>
      <c r="DG33" s="740"/>
      <c r="DH33" s="740"/>
      <c r="DI33" s="740"/>
      <c r="DJ33" s="740"/>
      <c r="DK33" s="214"/>
    </row>
    <row r="34" spans="1:115" x14ac:dyDescent="0.2">
      <c r="A34" s="211" t="s">
        <v>644</v>
      </c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739"/>
      <c r="AB34" s="739"/>
      <c r="AC34" s="739"/>
      <c r="AD34" s="739"/>
      <c r="AE34" s="211"/>
      <c r="AF34" s="211"/>
      <c r="AG34" s="739"/>
      <c r="AH34" s="739"/>
      <c r="AI34" s="739"/>
      <c r="AJ34" s="739"/>
      <c r="AK34" s="739"/>
      <c r="AL34" s="739"/>
      <c r="AM34" s="739"/>
      <c r="AN34" s="739"/>
      <c r="AO34" s="739"/>
      <c r="AP34" s="739"/>
      <c r="AQ34" s="739"/>
      <c r="AR34" s="739"/>
      <c r="AS34" s="739"/>
      <c r="AT34" s="739"/>
      <c r="AU34" s="739"/>
      <c r="AV34" s="739"/>
      <c r="AW34" s="739"/>
      <c r="AX34" s="739"/>
      <c r="AY34" s="739"/>
      <c r="AZ34" s="739"/>
      <c r="BA34" s="739"/>
      <c r="BB34" s="739"/>
      <c r="BC34" s="739"/>
      <c r="BD34" s="739"/>
      <c r="BE34" s="739"/>
      <c r="BF34" s="211"/>
      <c r="BG34" s="211"/>
      <c r="BH34" s="211"/>
      <c r="BI34" s="211"/>
      <c r="BJ34" s="211"/>
      <c r="BK34" s="211"/>
      <c r="BL34" s="211"/>
      <c r="BM34" s="211"/>
      <c r="BN34" s="211"/>
      <c r="BO34" s="211"/>
      <c r="BP34" s="211"/>
      <c r="BQ34" s="211"/>
      <c r="BR34" s="211"/>
      <c r="BS34" s="211"/>
      <c r="BT34" s="211"/>
      <c r="BU34" s="211"/>
      <c r="BV34" s="211"/>
      <c r="BW34" s="211"/>
      <c r="BX34" s="211"/>
      <c r="BY34" s="211"/>
      <c r="BZ34" s="211"/>
      <c r="CA34" s="211"/>
      <c r="CB34" s="211"/>
      <c r="CC34" s="211"/>
      <c r="CD34" s="211"/>
      <c r="CE34" s="211"/>
      <c r="CF34" s="211"/>
      <c r="CG34" s="211"/>
      <c r="CH34" s="211"/>
      <c r="CI34" s="211"/>
      <c r="CJ34" s="211"/>
      <c r="CK34" s="211"/>
      <c r="CL34" s="211"/>
      <c r="CM34" s="211"/>
      <c r="CN34" s="211"/>
      <c r="CO34" s="211"/>
      <c r="CP34" s="211"/>
      <c r="CQ34" s="211"/>
      <c r="CR34" s="211"/>
      <c r="CS34" s="211"/>
      <c r="CT34" s="211"/>
      <c r="CU34" s="211"/>
      <c r="CV34" s="211"/>
      <c r="CW34" s="211"/>
      <c r="CX34" s="211"/>
      <c r="CY34" s="211"/>
      <c r="CZ34" s="211"/>
      <c r="DA34" s="211"/>
      <c r="DB34" s="211"/>
      <c r="DC34" s="211"/>
      <c r="DD34" s="211"/>
      <c r="DE34" s="211"/>
      <c r="DF34" s="211"/>
      <c r="DG34" s="211"/>
      <c r="DH34" s="211"/>
      <c r="DI34" s="211"/>
      <c r="DJ34" s="211"/>
      <c r="DK34" s="212"/>
    </row>
    <row r="35" spans="1:115" s="196" customFormat="1" ht="9.75" x14ac:dyDescent="0.2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740" t="s">
        <v>63</v>
      </c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740"/>
      <c r="AB35" s="740"/>
      <c r="AC35" s="740"/>
      <c r="AD35" s="740"/>
      <c r="AE35" s="213"/>
      <c r="AF35" s="213"/>
      <c r="AG35" s="740" t="s">
        <v>121</v>
      </c>
      <c r="AH35" s="740"/>
      <c r="AI35" s="740"/>
      <c r="AJ35" s="740"/>
      <c r="AK35" s="740"/>
      <c r="AL35" s="740"/>
      <c r="AM35" s="740"/>
      <c r="AN35" s="740"/>
      <c r="AO35" s="740"/>
      <c r="AP35" s="740"/>
      <c r="AQ35" s="740"/>
      <c r="AR35" s="740"/>
      <c r="AS35" s="740"/>
      <c r="AT35" s="740"/>
      <c r="AU35" s="740"/>
      <c r="AV35" s="740"/>
      <c r="AW35" s="740"/>
      <c r="AX35" s="740"/>
      <c r="AY35" s="740"/>
      <c r="AZ35" s="740"/>
      <c r="BA35" s="740"/>
      <c r="BB35" s="740"/>
      <c r="BC35" s="740"/>
      <c r="BD35" s="740"/>
      <c r="BE35" s="740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  <c r="CE35" s="213"/>
      <c r="CF35" s="213"/>
      <c r="CG35" s="213"/>
      <c r="CH35" s="213"/>
      <c r="CI35" s="213"/>
      <c r="CJ35" s="213"/>
      <c r="CK35" s="213"/>
      <c r="CL35" s="213"/>
      <c r="CM35" s="213"/>
      <c r="CN35" s="213"/>
      <c r="CO35" s="213"/>
      <c r="CP35" s="213"/>
      <c r="CQ35" s="213"/>
      <c r="CR35" s="213"/>
      <c r="CS35" s="213"/>
      <c r="CT35" s="213"/>
      <c r="CU35" s="213"/>
      <c r="CV35" s="213"/>
      <c r="CW35" s="213"/>
      <c r="CX35" s="213"/>
      <c r="CY35" s="213"/>
      <c r="CZ35" s="213"/>
      <c r="DA35" s="213"/>
      <c r="DB35" s="213"/>
      <c r="DC35" s="213"/>
      <c r="DD35" s="213"/>
      <c r="DE35" s="213"/>
      <c r="DF35" s="213"/>
      <c r="DG35" s="213"/>
      <c r="DH35" s="213"/>
      <c r="DI35" s="213"/>
      <c r="DJ35" s="213"/>
      <c r="DK35" s="214"/>
    </row>
  </sheetData>
  <mergeCells count="78">
    <mergeCell ref="BM1:DJ1"/>
    <mergeCell ref="A32:BF32"/>
    <mergeCell ref="BG32:DJ32"/>
    <mergeCell ref="A8:CF8"/>
    <mergeCell ref="AV2:DJ2"/>
    <mergeCell ref="BG30:BK30"/>
    <mergeCell ref="BL30:BT30"/>
    <mergeCell ref="BU30:CO30"/>
    <mergeCell ref="CP30:DA30"/>
    <mergeCell ref="Z30:AI30"/>
    <mergeCell ref="AJ30:AR30"/>
    <mergeCell ref="AS30:AX30"/>
    <mergeCell ref="AY30:BF30"/>
    <mergeCell ref="D30:Q30"/>
    <mergeCell ref="R30:U30"/>
    <mergeCell ref="V30:Y30"/>
    <mergeCell ref="BZ11:CC11"/>
    <mergeCell ref="BU11:BY11"/>
    <mergeCell ref="CT4:DJ4"/>
    <mergeCell ref="CT5:DJ5"/>
    <mergeCell ref="A6:CF6"/>
    <mergeCell ref="CT6:DJ6"/>
    <mergeCell ref="A7:CF7"/>
    <mergeCell ref="CT7:DJ8"/>
    <mergeCell ref="BT15:CB15"/>
    <mergeCell ref="CC15:CP15"/>
    <mergeCell ref="CQ15:DB15"/>
    <mergeCell ref="DC15:DJ15"/>
    <mergeCell ref="A9:CS9"/>
    <mergeCell ref="CC10:CS10"/>
    <mergeCell ref="CT10:DJ10"/>
    <mergeCell ref="CT11:DJ11"/>
    <mergeCell ref="A13:BS13"/>
    <mergeCell ref="BT13:CB14"/>
    <mergeCell ref="CC13:CP14"/>
    <mergeCell ref="CQ13:DB14"/>
    <mergeCell ref="DC13:DJ14"/>
    <mergeCell ref="CQ11:CS11"/>
    <mergeCell ref="CJ11:CP11"/>
    <mergeCell ref="CD11:CI11"/>
    <mergeCell ref="A14:G14"/>
    <mergeCell ref="H14:Z14"/>
    <mergeCell ref="AA14:AU14"/>
    <mergeCell ref="AV14:BS14"/>
    <mergeCell ref="A15:G15"/>
    <mergeCell ref="H15:Z15"/>
    <mergeCell ref="AA15:AU15"/>
    <mergeCell ref="AV15:BS15"/>
    <mergeCell ref="H17:DJ17"/>
    <mergeCell ref="Z24:AW24"/>
    <mergeCell ref="AZ24:BO24"/>
    <mergeCell ref="BR24:CP24"/>
    <mergeCell ref="G20:DJ20"/>
    <mergeCell ref="G21:DJ21"/>
    <mergeCell ref="L22:DJ22"/>
    <mergeCell ref="Z23:AW23"/>
    <mergeCell ref="AZ23:BO23"/>
    <mergeCell ref="BR23:CP23"/>
    <mergeCell ref="K19:Q19"/>
    <mergeCell ref="AO19:BX19"/>
    <mergeCell ref="BY19:CV19"/>
    <mergeCell ref="H18:DJ18"/>
    <mergeCell ref="O35:AD35"/>
    <mergeCell ref="AG35:BE35"/>
    <mergeCell ref="D31:DJ31"/>
    <mergeCell ref="A33:DJ33"/>
    <mergeCell ref="O34:AD34"/>
    <mergeCell ref="AG34:BE34"/>
    <mergeCell ref="C29:F29"/>
    <mergeCell ref="J29:AA29"/>
    <mergeCell ref="AC29:AI29"/>
    <mergeCell ref="BJ29:CA29"/>
    <mergeCell ref="S25:AH25"/>
    <mergeCell ref="AK25:BI25"/>
    <mergeCell ref="S26:AH26"/>
    <mergeCell ref="AK26:BI26"/>
    <mergeCell ref="I27:DJ27"/>
    <mergeCell ref="I28:DJ28"/>
  </mergeCells>
  <pageMargins left="0.23622047244094491" right="0.23622047244094491" top="0.23622047244094491" bottom="0.74803149606299213" header="0.31496062992125984" footer="0.31496062992125984"/>
  <pageSetup paperSize="9" fitToHeight="0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0F89-9DD4-42AD-AA07-9C67ADA389B7}">
  <sheetPr>
    <pageSetUpPr fitToPage="1"/>
  </sheetPr>
  <dimension ref="A1:E42"/>
  <sheetViews>
    <sheetView workbookViewId="0">
      <selection activeCell="B31" sqref="B31"/>
    </sheetView>
  </sheetViews>
  <sheetFormatPr defaultRowHeight="15" x14ac:dyDescent="0.25"/>
  <cols>
    <col min="1" max="1" width="5.28515625" customWidth="1"/>
    <col min="2" max="2" width="31.85546875" customWidth="1"/>
    <col min="3" max="3" width="28.85546875" customWidth="1"/>
    <col min="4" max="4" width="28" customWidth="1"/>
    <col min="5" max="5" width="46.42578125" customWidth="1"/>
  </cols>
  <sheetData>
    <row r="1" spans="1:4" x14ac:dyDescent="0.25">
      <c r="A1" s="233">
        <v>1</v>
      </c>
      <c r="B1" s="234" t="s">
        <v>676</v>
      </c>
      <c r="C1" s="784" t="str">
        <f>Дог.!A18</f>
        <v>ХХХХ ХХХХ ХХХХ</v>
      </c>
      <c r="D1" s="785"/>
    </row>
    <row r="2" spans="1:4" x14ac:dyDescent="0.25">
      <c r="A2" s="235">
        <v>2</v>
      </c>
      <c r="B2" s="23" t="s">
        <v>677</v>
      </c>
      <c r="C2" s="786" t="s">
        <v>675</v>
      </c>
      <c r="D2" s="787"/>
    </row>
    <row r="3" spans="1:4" x14ac:dyDescent="0.25">
      <c r="A3" s="235">
        <v>3</v>
      </c>
      <c r="B3" s="23" t="s">
        <v>678</v>
      </c>
      <c r="C3" s="236" t="str">
        <f>Дог.!A23</f>
        <v>ХХХХХ</v>
      </c>
      <c r="D3" s="237"/>
    </row>
    <row r="4" spans="1:4" x14ac:dyDescent="0.25">
      <c r="A4" s="235">
        <v>4</v>
      </c>
      <c r="B4" s="23" t="s">
        <v>26</v>
      </c>
      <c r="C4" s="788" t="str">
        <f>Дог.!D7</f>
        <v>ХХХХ ХХХ ХХХХХ</v>
      </c>
      <c r="D4" s="789"/>
    </row>
    <row r="5" spans="1:4" x14ac:dyDescent="0.25">
      <c r="A5" s="235">
        <v>5</v>
      </c>
      <c r="B5" s="23" t="s">
        <v>679</v>
      </c>
      <c r="C5" s="786"/>
      <c r="D5" s="787"/>
    </row>
    <row r="6" spans="1:4" x14ac:dyDescent="0.25">
      <c r="A6" s="235">
        <v>6</v>
      </c>
      <c r="B6" s="23" t="s">
        <v>680</v>
      </c>
      <c r="C6" s="23" t="str">
        <f>Дог.!C20</f>
        <v>Чуйская область г. Бишкек</v>
      </c>
      <c r="D6" s="237" t="str">
        <f>Дог.!J20</f>
        <v>ул. ХХХХХ</v>
      </c>
    </row>
    <row r="7" spans="1:4" x14ac:dyDescent="0.25">
      <c r="A7" s="235">
        <v>7</v>
      </c>
      <c r="B7" s="23" t="s">
        <v>681</v>
      </c>
      <c r="C7" s="23" t="str">
        <f>Дог.!A21</f>
        <v>Чуйская область г. Бишкек</v>
      </c>
      <c r="D7" s="237" t="str">
        <f>Дог.!I21</f>
        <v>ул. ХХХХХ</v>
      </c>
    </row>
    <row r="8" spans="1:4" x14ac:dyDescent="0.25">
      <c r="A8" s="235">
        <v>8</v>
      </c>
      <c r="B8" s="23" t="s">
        <v>682</v>
      </c>
      <c r="C8" s="23" t="str">
        <f>Дог.!A12</f>
        <v>XXXXXXX</v>
      </c>
      <c r="D8" s="237"/>
    </row>
    <row r="9" spans="1:4" x14ac:dyDescent="0.25">
      <c r="A9" s="235">
        <v>9</v>
      </c>
      <c r="B9" s="23" t="s">
        <v>683</v>
      </c>
      <c r="C9" s="236">
        <f ca="1">'Акт расч'!F21</f>
        <v>46031</v>
      </c>
      <c r="D9" s="237"/>
    </row>
    <row r="10" spans="1:4" x14ac:dyDescent="0.25">
      <c r="A10" s="235">
        <v>10</v>
      </c>
      <c r="B10" s="23" t="s">
        <v>684</v>
      </c>
      <c r="C10" s="23"/>
      <c r="D10" s="237"/>
    </row>
    <row r="11" spans="1:4" x14ac:dyDescent="0.25">
      <c r="A11" s="235">
        <v>11</v>
      </c>
      <c r="B11" s="23" t="s">
        <v>685</v>
      </c>
      <c r="C11" s="236">
        <f ca="1">'Пр №1'!J21</f>
        <v>46031</v>
      </c>
      <c r="D11" s="238">
        <f ca="1">'Акт расч'!P49</f>
        <v>-3000</v>
      </c>
    </row>
    <row r="12" spans="1:4" x14ac:dyDescent="0.25">
      <c r="A12" s="235">
        <v>12</v>
      </c>
      <c r="B12" s="23" t="s">
        <v>694</v>
      </c>
      <c r="C12" s="23"/>
      <c r="D12" s="237"/>
    </row>
    <row r="13" spans="1:4" x14ac:dyDescent="0.25">
      <c r="A13" s="235"/>
      <c r="B13" s="23"/>
      <c r="C13" s="23"/>
      <c r="D13" s="237"/>
    </row>
    <row r="14" spans="1:4" x14ac:dyDescent="0.25">
      <c r="A14" s="235">
        <v>13</v>
      </c>
      <c r="B14" s="23" t="s">
        <v>686</v>
      </c>
      <c r="C14" s="23"/>
      <c r="D14" s="237"/>
    </row>
    <row r="15" spans="1:4" x14ac:dyDescent="0.25">
      <c r="A15" s="235"/>
      <c r="B15" s="23"/>
      <c r="C15" s="23"/>
      <c r="D15" s="237"/>
    </row>
    <row r="16" spans="1:4" x14ac:dyDescent="0.25">
      <c r="A16" s="235">
        <v>14</v>
      </c>
      <c r="B16" s="23" t="s">
        <v>687</v>
      </c>
      <c r="C16" s="23"/>
      <c r="D16" s="237"/>
    </row>
    <row r="17" spans="1:5" x14ac:dyDescent="0.25">
      <c r="A17" s="235">
        <v>15</v>
      </c>
      <c r="B17" s="23" t="s">
        <v>688</v>
      </c>
      <c r="C17" s="23"/>
      <c r="D17" s="237"/>
    </row>
    <row r="18" spans="1:5" x14ac:dyDescent="0.25">
      <c r="A18" s="235">
        <v>16</v>
      </c>
      <c r="B18" s="23" t="s">
        <v>689</v>
      </c>
      <c r="C18" s="23"/>
      <c r="D18" s="237"/>
    </row>
    <row r="19" spans="1:5" x14ac:dyDescent="0.25">
      <c r="A19" s="235">
        <v>17</v>
      </c>
      <c r="B19" s="23" t="s">
        <v>690</v>
      </c>
      <c r="C19" s="23"/>
      <c r="D19" s="237"/>
    </row>
    <row r="20" spans="1:5" x14ac:dyDescent="0.25">
      <c r="A20" s="235">
        <v>18</v>
      </c>
      <c r="B20" s="23" t="s">
        <v>691</v>
      </c>
      <c r="C20" s="23"/>
      <c r="D20" s="237"/>
    </row>
    <row r="21" spans="1:5" x14ac:dyDescent="0.25">
      <c r="A21" s="235">
        <v>19</v>
      </c>
      <c r="B21" s="23" t="s">
        <v>692</v>
      </c>
      <c r="C21" s="23" t="str">
        <f>Дог.!L8</f>
        <v>ул. Лермонтова д.№ 68</v>
      </c>
      <c r="D21" s="237"/>
    </row>
    <row r="22" spans="1:5" x14ac:dyDescent="0.25">
      <c r="A22" s="171"/>
      <c r="B22" s="239"/>
      <c r="D22" s="172"/>
    </row>
    <row r="23" spans="1:5" x14ac:dyDescent="0.25">
      <c r="A23" s="790" t="s">
        <v>695</v>
      </c>
      <c r="B23" s="791"/>
      <c r="D23" s="172"/>
    </row>
    <row r="24" spans="1:5" x14ac:dyDescent="0.25">
      <c r="A24" s="235" t="s">
        <v>693</v>
      </c>
      <c r="B24" t="str">
        <f>SUBSTITUTE(C1,CHAR(32),"")</f>
        <v>ХХХХХХХХХХХХ</v>
      </c>
      <c r="D24" s="172"/>
      <c r="E24" t="str">
        <f>C1</f>
        <v>ХХХХ ХХХХ ХХХХ</v>
      </c>
    </row>
    <row r="25" spans="1:5" x14ac:dyDescent="0.25">
      <c r="A25" s="235" t="s">
        <v>693</v>
      </c>
      <c r="B25" t="str">
        <f>SUBSTITUTE(E25,CHAR(32),"")</f>
        <v>ХХХХХ.Х.</v>
      </c>
      <c r="D25" s="172"/>
      <c r="E25" t="str">
        <f>LEFT(E24,FIND(" ",E24,1)+1)&amp;"."&amp;MID(E24,FIND(" ",E24,FIND(" ",E24,1)+1)+1,1)&amp;"."</f>
        <v>ХХХХ Х.Х.</v>
      </c>
    </row>
    <row r="26" spans="1:5" x14ac:dyDescent="0.25">
      <c r="A26" s="235" t="s">
        <v>693</v>
      </c>
      <c r="B26" t="str">
        <f>SUBSTITUTE(E26,CHAR(32),"")</f>
        <v>ХХХХХХХХ</v>
      </c>
      <c r="D26" s="172"/>
      <c r="E26" t="str">
        <f>LEFT(E24,SEARCH(" ",E24,SEARCH(" ",E24)+1)-1)</f>
        <v>ХХХХ ХХХХ</v>
      </c>
    </row>
    <row r="27" spans="1:5" x14ac:dyDescent="0.25">
      <c r="A27" s="235" t="s">
        <v>693</v>
      </c>
      <c r="B27" t="str">
        <f>SUBSTITUTE(E27,CHAR(32),"")</f>
        <v>ХХХХХХХХ</v>
      </c>
      <c r="D27" s="172"/>
      <c r="E27" t="str">
        <f>MID(E26,SEARCH(" ",E26)+1,300)&amp;" "&amp;MID(E26,1,SEARCH(" ",E26))</f>
        <v xml:space="preserve">ХХХХ ХХХХ </v>
      </c>
    </row>
    <row r="28" spans="1:5" x14ac:dyDescent="0.25">
      <c r="A28" s="235" t="s">
        <v>693</v>
      </c>
      <c r="B28" t="str">
        <f>SUBSTITUTE(E28,CHAR(32),"")</f>
        <v>ХХХХХХХХХХХХ</v>
      </c>
      <c r="D28" s="172"/>
      <c r="E28" t="str">
        <f>TRIM(RIGHT(E24,LEN(E24)-SEARCH(" ",E24))&amp;" "&amp;LEFT(E24,SEARCH(" ",E24)-1))</f>
        <v>ХХХХ ХХХХ ХХХХ</v>
      </c>
    </row>
    <row r="29" spans="1:5" x14ac:dyDescent="0.25">
      <c r="A29" s="235" t="s">
        <v>693</v>
      </c>
      <c r="B29" t="str">
        <f>SUBSTITUTE(E29,CHAR(32),"")</f>
        <v>ХХХХХХХХ</v>
      </c>
      <c r="D29" s="172"/>
      <c r="E29" t="str">
        <f>MID(C1,SEARCH(" ",C1)+1,99)</f>
        <v>ХХХХ ХХХХ</v>
      </c>
    </row>
    <row r="30" spans="1:5" x14ac:dyDescent="0.25">
      <c r="A30" s="235" t="s">
        <v>693</v>
      </c>
      <c r="D30" s="172"/>
    </row>
    <row r="31" spans="1:5" x14ac:dyDescent="0.25">
      <c r="A31" s="235" t="s">
        <v>693</v>
      </c>
      <c r="D31" s="172"/>
    </row>
    <row r="32" spans="1:5" x14ac:dyDescent="0.25">
      <c r="A32" s="171"/>
      <c r="D32" s="172"/>
    </row>
    <row r="33" spans="1:4" x14ac:dyDescent="0.25">
      <c r="A33" s="171"/>
      <c r="D33" s="172"/>
    </row>
    <row r="34" spans="1:4" x14ac:dyDescent="0.25">
      <c r="A34" s="171"/>
      <c r="D34" s="172"/>
    </row>
    <row r="35" spans="1:4" x14ac:dyDescent="0.25">
      <c r="A35" s="171"/>
      <c r="D35" s="172"/>
    </row>
    <row r="36" spans="1:4" x14ac:dyDescent="0.25">
      <c r="A36" s="171"/>
      <c r="D36" s="172"/>
    </row>
    <row r="37" spans="1:4" x14ac:dyDescent="0.25">
      <c r="A37" s="171"/>
      <c r="D37" s="172"/>
    </row>
    <row r="38" spans="1:4" x14ac:dyDescent="0.25">
      <c r="A38" s="171"/>
      <c r="D38" s="172"/>
    </row>
    <row r="39" spans="1:4" x14ac:dyDescent="0.25">
      <c r="A39" s="171"/>
      <c r="D39" s="172"/>
    </row>
    <row r="40" spans="1:4" x14ac:dyDescent="0.25">
      <c r="A40" s="171"/>
      <c r="D40" s="172"/>
    </row>
    <row r="41" spans="1:4" x14ac:dyDescent="0.25">
      <c r="A41" s="171"/>
      <c r="D41" s="172"/>
    </row>
    <row r="42" spans="1:4" ht="15.75" thickBot="1" x14ac:dyDescent="0.3">
      <c r="A42" s="173"/>
      <c r="B42" s="174"/>
      <c r="C42" s="174"/>
      <c r="D42" s="176"/>
    </row>
  </sheetData>
  <mergeCells count="5">
    <mergeCell ref="C1:D1"/>
    <mergeCell ref="C2:D2"/>
    <mergeCell ref="C4:D4"/>
    <mergeCell ref="C5:D5"/>
    <mergeCell ref="A23:B23"/>
  </mergeCells>
  <pageMargins left="0.7" right="0.7" top="0.75" bottom="0.75" header="0.3" footer="0.3"/>
  <pageSetup paperSize="9" scale="93" fitToHeight="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67"/>
  <sheetViews>
    <sheetView zoomScaleNormal="100" workbookViewId="0">
      <selection activeCell="K4" sqref="K4"/>
    </sheetView>
  </sheetViews>
  <sheetFormatPr defaultRowHeight="15.75" x14ac:dyDescent="0.25"/>
  <cols>
    <col min="1" max="1" width="4.85546875" style="72" customWidth="1"/>
    <col min="2" max="3" width="9.140625" style="72"/>
    <col min="4" max="4" width="9.5703125" style="72" bestFit="1" customWidth="1"/>
    <col min="5" max="5" width="9.7109375" style="72" customWidth="1"/>
    <col min="6" max="6" width="9.140625" style="72"/>
    <col min="7" max="7" width="11.5703125" style="72" customWidth="1"/>
    <col min="8" max="8" width="9.85546875" style="72" customWidth="1"/>
    <col min="9" max="9" width="19.5703125" style="72" customWidth="1"/>
    <col min="10" max="10" width="8.85546875" style="65" customWidth="1"/>
    <col min="11" max="13" width="9.140625" style="65"/>
    <col min="14" max="15" width="9.28515625" style="65" bestFit="1" customWidth="1"/>
    <col min="16" max="16" width="9.5703125" style="65" bestFit="1" customWidth="1"/>
    <col min="17" max="17" width="13.42578125" style="65" customWidth="1"/>
  </cols>
  <sheetData>
    <row r="1" spans="1:9" ht="16.5" thickBot="1" x14ac:dyDescent="0.3">
      <c r="A1" s="817" t="s">
        <v>605</v>
      </c>
      <c r="B1" s="818"/>
      <c r="C1" s="818"/>
      <c r="D1" s="818"/>
      <c r="E1" s="818"/>
      <c r="F1" s="818"/>
      <c r="G1" s="818"/>
      <c r="H1" s="818"/>
      <c r="I1" s="818"/>
    </row>
    <row r="2" spans="1:9" x14ac:dyDescent="0.25">
      <c r="A2" s="803"/>
      <c r="B2" s="529"/>
      <c r="C2" s="529"/>
      <c r="D2" s="529"/>
      <c r="E2" s="529"/>
      <c r="F2" s="529"/>
      <c r="G2" s="529"/>
      <c r="H2" s="529"/>
      <c r="I2" s="804"/>
    </row>
    <row r="3" spans="1:9" x14ac:dyDescent="0.25">
      <c r="A3" s="793" t="s">
        <v>252</v>
      </c>
      <c r="B3" s="792"/>
      <c r="C3" s="792"/>
      <c r="D3" s="792"/>
      <c r="E3" s="792"/>
      <c r="F3" s="792"/>
      <c r="G3" s="792"/>
      <c r="H3" s="792"/>
      <c r="I3" s="794"/>
    </row>
    <row r="4" spans="1:9" x14ac:dyDescent="0.25">
      <c r="A4" s="803" t="str">
        <f>Дог.!A18</f>
        <v>ХХХХ ХХХХ ХХХХ</v>
      </c>
      <c r="B4" s="529"/>
      <c r="C4" s="529"/>
      <c r="D4" s="529"/>
      <c r="E4" s="529"/>
      <c r="F4" s="802" t="str">
        <f>Дог.!A23</f>
        <v>ХХХХХ</v>
      </c>
      <c r="G4" s="529"/>
      <c r="H4" s="807" t="s">
        <v>246</v>
      </c>
      <c r="I4" s="808"/>
    </row>
    <row r="5" spans="1:9" x14ac:dyDescent="0.25">
      <c r="A5" s="816" t="s">
        <v>248</v>
      </c>
      <c r="B5" s="807"/>
      <c r="C5" s="807"/>
      <c r="D5" s="807"/>
      <c r="E5" s="807"/>
      <c r="F5" s="807"/>
      <c r="G5" s="807"/>
      <c r="H5" s="825">
        <f>'Акт прием'!N26</f>
        <v>35000</v>
      </c>
      <c r="I5" s="826"/>
    </row>
    <row r="6" spans="1:9" x14ac:dyDescent="0.25">
      <c r="A6" s="816" t="s">
        <v>253</v>
      </c>
      <c r="B6" s="807"/>
      <c r="C6" s="807"/>
      <c r="D6" s="807"/>
      <c r="E6" s="807"/>
      <c r="F6" s="807"/>
      <c r="G6" s="807"/>
      <c r="H6" s="807"/>
      <c r="I6" s="808"/>
    </row>
    <row r="7" spans="1:9" x14ac:dyDescent="0.25">
      <c r="A7" s="816" t="s">
        <v>249</v>
      </c>
      <c r="B7" s="807"/>
      <c r="C7" s="807"/>
      <c r="D7" s="807"/>
      <c r="E7" s="807"/>
      <c r="F7" s="807"/>
      <c r="G7" s="807"/>
      <c r="H7" s="807"/>
      <c r="I7" s="808"/>
    </row>
    <row r="8" spans="1:9" x14ac:dyDescent="0.25">
      <c r="A8" s="829" t="s">
        <v>560</v>
      </c>
      <c r="B8" s="830"/>
      <c r="C8" s="830"/>
      <c r="D8" s="830"/>
      <c r="E8" s="830"/>
      <c r="F8" s="830"/>
      <c r="G8" s="830"/>
      <c r="H8" s="830"/>
      <c r="I8" s="831"/>
    </row>
    <row r="9" spans="1:9" x14ac:dyDescent="0.25">
      <c r="A9" s="816" t="s">
        <v>250</v>
      </c>
      <c r="B9" s="807"/>
      <c r="C9" s="807"/>
      <c r="D9" s="807"/>
      <c r="E9" s="807"/>
      <c r="F9" s="807"/>
      <c r="G9" s="807"/>
      <c r="H9" s="807"/>
      <c r="I9" s="808"/>
    </row>
    <row r="10" spans="1:9" x14ac:dyDescent="0.25">
      <c r="A10" s="816" t="s">
        <v>251</v>
      </c>
      <c r="B10" s="807"/>
      <c r="C10" s="807"/>
      <c r="D10" s="807"/>
      <c r="E10" s="807"/>
      <c r="F10" s="807"/>
      <c r="G10" s="807"/>
      <c r="H10" s="807"/>
      <c r="I10" s="808"/>
    </row>
    <row r="11" spans="1:9" x14ac:dyDescent="0.25">
      <c r="A11" s="803" t="s">
        <v>247</v>
      </c>
      <c r="B11" s="529"/>
      <c r="C11" s="529"/>
      <c r="D11" s="529"/>
      <c r="E11" s="529"/>
      <c r="F11" s="529"/>
      <c r="G11" s="529"/>
      <c r="H11" s="529"/>
      <c r="I11" s="804"/>
    </row>
    <row r="12" spans="1:9" x14ac:dyDescent="0.25">
      <c r="A12" s="816"/>
      <c r="B12" s="807"/>
      <c r="C12" s="807"/>
      <c r="D12" s="807"/>
      <c r="E12" s="807"/>
      <c r="F12" s="807"/>
      <c r="G12" s="807"/>
      <c r="H12" s="807"/>
      <c r="I12" s="808"/>
    </row>
    <row r="13" spans="1:9" x14ac:dyDescent="0.25">
      <c r="A13" s="188"/>
      <c r="B13" s="189" t="s">
        <v>78</v>
      </c>
      <c r="C13" s="827">
        <f ca="1">Дог.!P11</f>
        <v>46031</v>
      </c>
      <c r="D13" s="828"/>
      <c r="E13" s="97"/>
      <c r="F13" s="97"/>
      <c r="G13" s="97"/>
      <c r="H13" s="97"/>
      <c r="I13" s="190"/>
    </row>
    <row r="14" spans="1:9" x14ac:dyDescent="0.25">
      <c r="A14" s="191"/>
      <c r="B14" s="73"/>
      <c r="C14" s="73"/>
      <c r="D14" s="819" t="s">
        <v>235</v>
      </c>
      <c r="E14" s="819"/>
      <c r="F14" s="819"/>
      <c r="G14" s="819"/>
      <c r="H14" s="70"/>
      <c r="I14" s="192"/>
    </row>
    <row r="15" spans="1:9" x14ac:dyDescent="0.25">
      <c r="A15" s="191"/>
      <c r="D15" s="65"/>
      <c r="E15" s="65"/>
      <c r="F15" s="65"/>
      <c r="G15" s="71"/>
      <c r="H15" s="820" t="s">
        <v>63</v>
      </c>
      <c r="I15" s="821"/>
    </row>
    <row r="16" spans="1:9" ht="16.5" thickBot="1" x14ac:dyDescent="0.3">
      <c r="A16" s="822"/>
      <c r="B16" s="823"/>
      <c r="C16" s="823"/>
      <c r="D16" s="823"/>
      <c r="E16" s="823"/>
      <c r="F16" s="823"/>
      <c r="G16" s="823"/>
      <c r="H16" s="823"/>
      <c r="I16" s="824"/>
    </row>
    <row r="17" spans="1:9" x14ac:dyDescent="0.25">
      <c r="A17" s="97"/>
      <c r="B17" s="97"/>
      <c r="C17" s="97"/>
      <c r="D17" s="97"/>
      <c r="E17" s="97"/>
      <c r="F17" s="97"/>
      <c r="G17" s="97"/>
      <c r="H17" s="97"/>
      <c r="I17" s="97"/>
    </row>
    <row r="18" spans="1:9" x14ac:dyDescent="0.2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6.5" thickBot="1" x14ac:dyDescent="0.3">
      <c r="A19" s="803" t="s">
        <v>604</v>
      </c>
      <c r="B19" s="529"/>
      <c r="C19" s="529"/>
      <c r="D19" s="529"/>
      <c r="E19" s="529"/>
      <c r="F19" s="529"/>
      <c r="G19" s="529"/>
      <c r="H19" s="529"/>
      <c r="I19" s="529"/>
    </row>
    <row r="20" spans="1:9" x14ac:dyDescent="0.25">
      <c r="A20" s="812" t="s">
        <v>561</v>
      </c>
      <c r="B20" s="813"/>
      <c r="C20" s="813"/>
      <c r="D20" s="813"/>
      <c r="E20" s="814" t="str">
        <f>Дог.!A14</f>
        <v xml:space="preserve"> Зинченко Михаил Александрович</v>
      </c>
      <c r="F20" s="814"/>
      <c r="G20" s="814"/>
      <c r="H20" s="814"/>
      <c r="I20" s="193" t="s">
        <v>562</v>
      </c>
    </row>
    <row r="21" spans="1:9" x14ac:dyDescent="0.25">
      <c r="A21" s="793" t="s">
        <v>563</v>
      </c>
      <c r="B21" s="792"/>
      <c r="C21" s="792"/>
      <c r="D21" s="792"/>
      <c r="E21" s="792"/>
      <c r="F21" s="792"/>
      <c r="G21" s="792"/>
      <c r="H21" s="792"/>
      <c r="I21" s="794"/>
    </row>
    <row r="22" spans="1:9" x14ac:dyDescent="0.25">
      <c r="A22" s="793" t="s">
        <v>564</v>
      </c>
      <c r="B22" s="792"/>
      <c r="C22" s="792"/>
      <c r="D22" s="792"/>
      <c r="E22" s="792"/>
      <c r="F22" s="792"/>
      <c r="G22" s="792"/>
      <c r="H22" s="792"/>
      <c r="I22" s="794"/>
    </row>
    <row r="23" spans="1:9" x14ac:dyDescent="0.25">
      <c r="A23" s="793" t="s">
        <v>565</v>
      </c>
      <c r="B23" s="792"/>
      <c r="C23" s="792"/>
      <c r="D23" s="792"/>
      <c r="E23" s="792"/>
      <c r="F23" s="806" t="str">
        <f>Дог.!A18</f>
        <v>ХХХХ ХХХХ ХХХХ</v>
      </c>
      <c r="G23" s="806"/>
      <c r="H23" s="806"/>
      <c r="I23" s="815"/>
    </row>
    <row r="24" spans="1:9" x14ac:dyDescent="0.25">
      <c r="A24" s="809" t="str">
        <f>Дог.!A23</f>
        <v>ХХХХХ</v>
      </c>
      <c r="B24" s="806"/>
      <c r="C24" s="792" t="s">
        <v>566</v>
      </c>
      <c r="D24" s="792"/>
      <c r="E24" s="792"/>
      <c r="F24" s="792"/>
      <c r="G24" s="792"/>
      <c r="H24" s="792"/>
      <c r="I24" s="794"/>
    </row>
    <row r="25" spans="1:9" x14ac:dyDescent="0.25">
      <c r="A25" s="793" t="s">
        <v>567</v>
      </c>
      <c r="B25" s="792"/>
      <c r="C25" s="792"/>
      <c r="D25" s="792"/>
      <c r="E25" s="792"/>
      <c r="F25" s="792"/>
      <c r="G25" s="792"/>
      <c r="H25" s="792"/>
      <c r="I25" s="794"/>
    </row>
    <row r="26" spans="1:9" x14ac:dyDescent="0.25">
      <c r="A26" s="793" t="s">
        <v>568</v>
      </c>
      <c r="B26" s="792"/>
      <c r="C26" s="792"/>
      <c r="D26" s="792"/>
      <c r="E26" s="792"/>
      <c r="F26" s="792"/>
      <c r="G26" s="792"/>
      <c r="H26" s="792"/>
      <c r="I26" s="794"/>
    </row>
    <row r="27" spans="1:9" x14ac:dyDescent="0.25">
      <c r="A27" s="810" t="str">
        <f>F23</f>
        <v>ХХХХ ХХХХ ХХХХ</v>
      </c>
      <c r="B27" s="811"/>
      <c r="C27" s="811"/>
      <c r="D27" s="811"/>
      <c r="E27" s="811"/>
      <c r="F27" s="792" t="s">
        <v>569</v>
      </c>
      <c r="G27" s="792"/>
      <c r="H27" s="792"/>
      <c r="I27" s="794"/>
    </row>
    <row r="28" spans="1:9" x14ac:dyDescent="0.25">
      <c r="A28" s="793" t="s">
        <v>570</v>
      </c>
      <c r="B28" s="792"/>
      <c r="C28" s="792"/>
      <c r="D28" s="792"/>
      <c r="E28" s="792"/>
      <c r="F28" s="792"/>
      <c r="G28" s="792"/>
      <c r="H28" s="792"/>
      <c r="I28" s="794"/>
    </row>
    <row r="29" spans="1:9" x14ac:dyDescent="0.25">
      <c r="A29" s="793" t="s">
        <v>571</v>
      </c>
      <c r="B29" s="792"/>
      <c r="C29" s="792"/>
      <c r="D29" s="792"/>
      <c r="E29" s="792"/>
      <c r="F29" s="792"/>
      <c r="G29" s="792"/>
      <c r="H29" s="792"/>
      <c r="I29" s="794"/>
    </row>
    <row r="30" spans="1:9" x14ac:dyDescent="0.25">
      <c r="A30" s="793" t="s">
        <v>572</v>
      </c>
      <c r="B30" s="792"/>
      <c r="C30" s="792"/>
      <c r="D30" s="792"/>
      <c r="E30" s="792"/>
      <c r="F30" s="792"/>
      <c r="G30" s="792"/>
      <c r="H30" s="792"/>
      <c r="I30" s="794"/>
    </row>
    <row r="31" spans="1:9" x14ac:dyDescent="0.25">
      <c r="A31" s="793" t="s">
        <v>573</v>
      </c>
      <c r="B31" s="792"/>
      <c r="C31" s="802">
        <f ca="1">'Пр №1'!J21</f>
        <v>46031</v>
      </c>
      <c r="D31" s="529"/>
      <c r="E31" s="807" t="s">
        <v>574</v>
      </c>
      <c r="F31" s="807"/>
      <c r="G31" s="807"/>
      <c r="H31" s="807"/>
      <c r="I31" s="808"/>
    </row>
    <row r="32" spans="1:9" x14ac:dyDescent="0.25">
      <c r="A32" s="805" t="str">
        <f>A27</f>
        <v>ХХХХ ХХХХ ХХХХ</v>
      </c>
      <c r="B32" s="806"/>
      <c r="C32" s="806"/>
      <c r="D32" s="806"/>
      <c r="E32" s="806"/>
      <c r="F32" s="806"/>
      <c r="G32" s="187" t="str">
        <f>A24</f>
        <v>ХХХХХ</v>
      </c>
      <c r="H32" s="792" t="s">
        <v>575</v>
      </c>
      <c r="I32" s="794"/>
    </row>
    <row r="33" spans="1:9" x14ac:dyDescent="0.25">
      <c r="A33" s="793" t="s">
        <v>576</v>
      </c>
      <c r="B33" s="792"/>
      <c r="C33" s="792"/>
      <c r="D33" s="792"/>
      <c r="E33" s="792"/>
      <c r="F33" s="792"/>
      <c r="G33" s="792"/>
      <c r="H33" s="792"/>
      <c r="I33" s="794"/>
    </row>
    <row r="34" spans="1:9" x14ac:dyDescent="0.25">
      <c r="A34" s="793" t="s">
        <v>577</v>
      </c>
      <c r="B34" s="792"/>
      <c r="C34" s="792"/>
      <c r="D34" s="792"/>
      <c r="E34" s="807"/>
      <c r="F34" s="807"/>
      <c r="G34" s="807"/>
      <c r="H34" s="807"/>
      <c r="I34" s="808"/>
    </row>
    <row r="35" spans="1:9" x14ac:dyDescent="0.25">
      <c r="A35" s="793" t="s">
        <v>578</v>
      </c>
      <c r="B35" s="792"/>
      <c r="C35" s="802">
        <f ca="1">C31</f>
        <v>46031</v>
      </c>
      <c r="D35" s="529"/>
      <c r="E35" s="792" t="s">
        <v>579</v>
      </c>
      <c r="F35" s="792"/>
      <c r="G35" s="792"/>
      <c r="H35" s="792"/>
      <c r="I35" s="794"/>
    </row>
    <row r="36" spans="1:9" x14ac:dyDescent="0.25">
      <c r="A36" s="793" t="s">
        <v>580</v>
      </c>
      <c r="B36" s="792"/>
      <c r="C36" s="792"/>
      <c r="D36" s="792"/>
      <c r="E36" s="792"/>
      <c r="F36" s="792"/>
      <c r="G36" s="792"/>
      <c r="H36" s="792"/>
      <c r="I36" s="194">
        <f ca="1">'Акт расч'!P49</f>
        <v>-3000</v>
      </c>
    </row>
    <row r="37" spans="1:9" x14ac:dyDescent="0.25">
      <c r="A37" s="803" t="e">
        <f ca="1">[1]!ЧислоПрописьюВалюта(I36,2)</f>
        <v>#NAME?</v>
      </c>
      <c r="B37" s="529"/>
      <c r="C37" s="529"/>
      <c r="D37" s="529"/>
      <c r="E37" s="529"/>
      <c r="F37" s="529"/>
      <c r="G37" s="529"/>
      <c r="H37" s="529"/>
      <c r="I37" s="804"/>
    </row>
    <row r="38" spans="1:9" x14ac:dyDescent="0.25">
      <c r="A38" s="793" t="s">
        <v>581</v>
      </c>
      <c r="B38" s="792"/>
      <c r="C38" s="792"/>
      <c r="D38" s="792"/>
      <c r="E38" s="792"/>
      <c r="F38" s="792"/>
      <c r="G38" s="792"/>
      <c r="H38" s="792"/>
      <c r="I38" s="794"/>
    </row>
    <row r="39" spans="1:9" x14ac:dyDescent="0.25">
      <c r="A39" s="793" t="s">
        <v>582</v>
      </c>
      <c r="B39" s="792"/>
      <c r="C39" s="792"/>
      <c r="D39" s="792"/>
      <c r="E39" s="792"/>
      <c r="F39" s="792"/>
      <c r="G39" s="792"/>
      <c r="H39" s="792"/>
      <c r="I39" s="794"/>
    </row>
    <row r="40" spans="1:9" x14ac:dyDescent="0.25">
      <c r="A40" s="793" t="s">
        <v>583</v>
      </c>
      <c r="B40" s="792"/>
      <c r="C40" s="792"/>
      <c r="D40" s="792"/>
      <c r="E40" s="792"/>
      <c r="F40" s="792"/>
      <c r="G40" s="792"/>
      <c r="H40" s="792"/>
      <c r="I40" s="794"/>
    </row>
    <row r="41" spans="1:9" x14ac:dyDescent="0.25">
      <c r="A41" s="793" t="s">
        <v>584</v>
      </c>
      <c r="B41" s="792"/>
      <c r="C41" s="792"/>
      <c r="D41" s="792"/>
      <c r="E41" s="792"/>
      <c r="F41" s="792"/>
      <c r="G41" s="792"/>
      <c r="H41" s="792"/>
      <c r="I41" s="794"/>
    </row>
    <row r="42" spans="1:9" x14ac:dyDescent="0.25">
      <c r="A42" s="793" t="s">
        <v>585</v>
      </c>
      <c r="B42" s="792"/>
      <c r="C42" s="792"/>
      <c r="D42" s="792"/>
      <c r="E42" s="792"/>
      <c r="F42" s="792"/>
      <c r="G42" s="792"/>
      <c r="H42" s="792"/>
      <c r="I42" s="794"/>
    </row>
    <row r="43" spans="1:9" x14ac:dyDescent="0.25">
      <c r="A43" s="793" t="s">
        <v>586</v>
      </c>
      <c r="B43" s="792"/>
      <c r="C43" s="792"/>
      <c r="D43" s="792"/>
      <c r="E43" s="792"/>
      <c r="F43" s="792"/>
      <c r="G43" s="792"/>
      <c r="H43" s="792"/>
      <c r="I43" s="794"/>
    </row>
    <row r="44" spans="1:9" x14ac:dyDescent="0.25">
      <c r="A44" s="793" t="s">
        <v>587</v>
      </c>
      <c r="B44" s="792"/>
      <c r="C44" s="792"/>
      <c r="D44" s="792"/>
      <c r="E44" s="792"/>
      <c r="F44" s="792"/>
      <c r="G44" s="792"/>
      <c r="H44" s="792"/>
      <c r="I44" s="794"/>
    </row>
    <row r="45" spans="1:9" x14ac:dyDescent="0.25">
      <c r="A45" s="793" t="s">
        <v>588</v>
      </c>
      <c r="B45" s="792"/>
      <c r="C45" s="792"/>
      <c r="D45" s="792"/>
      <c r="E45" s="792"/>
      <c r="F45" s="792"/>
      <c r="G45" s="792"/>
      <c r="H45" s="792"/>
      <c r="I45" s="794"/>
    </row>
    <row r="46" spans="1:9" x14ac:dyDescent="0.25">
      <c r="A46" s="793" t="s">
        <v>589</v>
      </c>
      <c r="B46" s="792"/>
      <c r="C46" s="792"/>
      <c r="D46" s="792"/>
      <c r="E46" s="792"/>
      <c r="F46" s="792"/>
      <c r="G46" s="792"/>
      <c r="H46" s="792"/>
      <c r="I46" s="794"/>
    </row>
    <row r="47" spans="1:9" x14ac:dyDescent="0.25">
      <c r="A47" s="793" t="s">
        <v>590</v>
      </c>
      <c r="B47" s="792"/>
      <c r="C47" s="792"/>
      <c r="D47" s="792"/>
      <c r="E47" s="792"/>
      <c r="F47" s="792"/>
      <c r="G47" s="792"/>
      <c r="H47" s="792"/>
      <c r="I47" s="794"/>
    </row>
    <row r="48" spans="1:9" x14ac:dyDescent="0.25">
      <c r="A48" s="793" t="s">
        <v>591</v>
      </c>
      <c r="B48" s="792"/>
      <c r="C48" s="792"/>
      <c r="D48" s="792"/>
      <c r="E48" s="792"/>
      <c r="F48" s="792"/>
      <c r="G48" s="792"/>
      <c r="H48" s="792"/>
      <c r="I48" s="794"/>
    </row>
    <row r="49" spans="1:9" x14ac:dyDescent="0.25">
      <c r="A49" s="793" t="s">
        <v>592</v>
      </c>
      <c r="B49" s="792"/>
      <c r="C49" s="792"/>
      <c r="D49" s="792"/>
      <c r="E49" s="792"/>
      <c r="F49" s="792"/>
      <c r="G49" s="792"/>
      <c r="H49" s="792"/>
      <c r="I49" s="794"/>
    </row>
    <row r="50" spans="1:9" x14ac:dyDescent="0.25">
      <c r="A50" s="799" t="s">
        <v>593</v>
      </c>
      <c r="B50" s="800"/>
      <c r="C50" s="800"/>
      <c r="D50" s="800"/>
      <c r="E50" s="800"/>
      <c r="F50" s="800"/>
      <c r="G50" s="800"/>
      <c r="H50" s="800"/>
      <c r="I50" s="801"/>
    </row>
    <row r="51" spans="1:9" x14ac:dyDescent="0.25">
      <c r="A51" s="793"/>
      <c r="B51" s="792"/>
      <c r="C51" s="792"/>
      <c r="D51" s="792"/>
      <c r="E51" s="792"/>
      <c r="F51" s="792"/>
      <c r="G51" s="792"/>
      <c r="H51" s="792"/>
      <c r="I51" s="794"/>
    </row>
    <row r="52" spans="1:9" x14ac:dyDescent="0.25">
      <c r="A52" s="793" t="s">
        <v>594</v>
      </c>
      <c r="B52" s="792"/>
      <c r="C52" s="792"/>
      <c r="D52" s="792"/>
      <c r="E52" s="792"/>
      <c r="F52" s="792"/>
      <c r="G52" s="792"/>
      <c r="H52" s="792"/>
      <c r="I52" s="794"/>
    </row>
    <row r="53" spans="1:9" x14ac:dyDescent="0.25">
      <c r="A53" s="793" t="s">
        <v>595</v>
      </c>
      <c r="B53" s="792"/>
      <c r="C53" s="792"/>
      <c r="D53" s="792"/>
      <c r="E53" s="792"/>
      <c r="F53" s="792"/>
      <c r="G53" s="792"/>
      <c r="H53" s="792"/>
      <c r="I53" s="794"/>
    </row>
    <row r="54" spans="1:9" x14ac:dyDescent="0.25">
      <c r="A54" s="793" t="s">
        <v>596</v>
      </c>
      <c r="B54" s="792"/>
      <c r="C54" s="798" t="str">
        <f>Дог.!M7</f>
        <v>+996 (552) 727 607</v>
      </c>
      <c r="D54" s="529"/>
      <c r="E54" s="792" t="s">
        <v>597</v>
      </c>
      <c r="F54" s="792"/>
      <c r="G54" s="792"/>
      <c r="H54" s="792"/>
      <c r="I54" s="794"/>
    </row>
    <row r="55" spans="1:9" x14ac:dyDescent="0.25">
      <c r="A55" s="793" t="s">
        <v>598</v>
      </c>
      <c r="B55" s="792"/>
      <c r="C55" s="792"/>
      <c r="D55" s="792"/>
      <c r="E55" s="792"/>
      <c r="F55" s="792"/>
      <c r="G55" s="792"/>
      <c r="H55" s="792"/>
      <c r="I55" s="794"/>
    </row>
    <row r="56" spans="1:9" x14ac:dyDescent="0.25">
      <c r="A56" s="793" t="s">
        <v>606</v>
      </c>
      <c r="B56" s="792"/>
      <c r="C56" s="792"/>
      <c r="D56" s="792"/>
      <c r="E56" s="792"/>
      <c r="F56" s="792"/>
      <c r="G56" s="792"/>
      <c r="H56" s="792"/>
      <c r="I56" s="794"/>
    </row>
    <row r="57" spans="1:9" x14ac:dyDescent="0.25">
      <c r="A57" s="793" t="s">
        <v>599</v>
      </c>
      <c r="B57" s="792"/>
      <c r="C57" s="792"/>
      <c r="D57" s="792"/>
      <c r="E57" s="792"/>
      <c r="F57" s="792"/>
      <c r="G57" s="792"/>
      <c r="H57" s="792"/>
      <c r="I57" s="794"/>
    </row>
    <row r="58" spans="1:9" x14ac:dyDescent="0.25">
      <c r="A58" s="793" t="s">
        <v>600</v>
      </c>
      <c r="B58" s="792"/>
      <c r="C58" s="792"/>
      <c r="D58" s="792"/>
      <c r="E58" s="792"/>
      <c r="F58" s="792"/>
      <c r="G58" s="792"/>
      <c r="H58" s="792"/>
      <c r="I58" s="794"/>
    </row>
    <row r="59" spans="1:9" x14ac:dyDescent="0.25">
      <c r="A59" s="793" t="s">
        <v>601</v>
      </c>
      <c r="B59" s="792"/>
      <c r="C59" s="792"/>
      <c r="D59" s="792"/>
      <c r="E59" s="792"/>
      <c r="F59" s="792"/>
      <c r="G59" s="792"/>
      <c r="H59" s="792"/>
      <c r="I59" s="794"/>
    </row>
    <row r="60" spans="1:9" x14ac:dyDescent="0.25">
      <c r="A60" s="793" t="s">
        <v>602</v>
      </c>
      <c r="B60" s="792"/>
      <c r="C60" s="792"/>
      <c r="D60" s="792"/>
      <c r="E60" s="792"/>
      <c r="F60" s="792"/>
      <c r="G60" s="792"/>
      <c r="H60" s="792"/>
      <c r="I60" s="794"/>
    </row>
    <row r="61" spans="1:9" x14ac:dyDescent="0.25">
      <c r="A61" s="793"/>
      <c r="B61" s="792"/>
      <c r="C61" s="792"/>
      <c r="D61" s="792"/>
      <c r="E61" s="792"/>
      <c r="F61" s="792"/>
      <c r="G61" s="792"/>
      <c r="H61" s="792"/>
      <c r="I61" s="794"/>
    </row>
    <row r="62" spans="1:9" x14ac:dyDescent="0.25">
      <c r="A62" s="793"/>
      <c r="B62" s="792"/>
      <c r="C62" s="792"/>
      <c r="D62" s="792"/>
      <c r="E62" s="792"/>
      <c r="F62" s="792"/>
      <c r="G62" s="792"/>
      <c r="H62" s="792"/>
      <c r="I62" s="794"/>
    </row>
    <row r="63" spans="1:9" x14ac:dyDescent="0.25">
      <c r="A63" s="793" t="s">
        <v>603</v>
      </c>
      <c r="B63" s="792"/>
      <c r="C63" s="792"/>
      <c r="D63" s="792"/>
      <c r="E63" s="792"/>
      <c r="F63" s="792"/>
      <c r="G63" s="792"/>
      <c r="H63" s="792"/>
      <c r="I63" s="794"/>
    </row>
    <row r="64" spans="1:9" ht="16.5" thickBot="1" x14ac:dyDescent="0.3">
      <c r="A64" s="795"/>
      <c r="B64" s="796"/>
      <c r="C64" s="796"/>
      <c r="D64" s="796"/>
      <c r="E64" s="796"/>
      <c r="F64" s="796"/>
      <c r="G64" s="796"/>
      <c r="H64" s="796"/>
      <c r="I64" s="797"/>
    </row>
    <row r="65" spans="1:9" x14ac:dyDescent="0.25">
      <c r="A65" s="792"/>
      <c r="B65" s="792"/>
      <c r="C65" s="792"/>
      <c r="D65" s="792"/>
      <c r="E65" s="792"/>
      <c r="F65" s="792"/>
      <c r="G65" s="792"/>
      <c r="H65" s="792"/>
      <c r="I65" s="792"/>
    </row>
    <row r="66" spans="1:9" x14ac:dyDescent="0.25">
      <c r="A66" s="792"/>
      <c r="B66" s="792"/>
      <c r="C66" s="792"/>
      <c r="D66" s="792"/>
      <c r="E66" s="792"/>
      <c r="F66" s="792"/>
      <c r="G66" s="792"/>
      <c r="H66" s="792"/>
      <c r="I66" s="792"/>
    </row>
    <row r="67" spans="1:9" x14ac:dyDescent="0.25">
      <c r="A67" s="792"/>
      <c r="B67" s="792"/>
      <c r="C67" s="792"/>
      <c r="D67" s="792"/>
      <c r="E67" s="792"/>
      <c r="F67" s="792"/>
      <c r="G67" s="792"/>
      <c r="H67" s="792"/>
      <c r="I67" s="792"/>
    </row>
  </sheetData>
  <mergeCells count="80">
    <mergeCell ref="D14:G14"/>
    <mergeCell ref="H15:I15"/>
    <mergeCell ref="A16:I16"/>
    <mergeCell ref="A19:I19"/>
    <mergeCell ref="A4:E4"/>
    <mergeCell ref="F4:G4"/>
    <mergeCell ref="H4:I4"/>
    <mergeCell ref="A5:G5"/>
    <mergeCell ref="H5:I5"/>
    <mergeCell ref="A6:I6"/>
    <mergeCell ref="A12:I12"/>
    <mergeCell ref="A11:I11"/>
    <mergeCell ref="C13:D13"/>
    <mergeCell ref="A10:I10"/>
    <mergeCell ref="A8:I8"/>
    <mergeCell ref="A3:I3"/>
    <mergeCell ref="A7:I7"/>
    <mergeCell ref="A1:I1"/>
    <mergeCell ref="A9:I9"/>
    <mergeCell ref="A2:I2"/>
    <mergeCell ref="A20:D20"/>
    <mergeCell ref="E20:H20"/>
    <mergeCell ref="A21:I21"/>
    <mergeCell ref="A22:I22"/>
    <mergeCell ref="A23:E23"/>
    <mergeCell ref="F23:I23"/>
    <mergeCell ref="A24:B24"/>
    <mergeCell ref="C24:I24"/>
    <mergeCell ref="A25:I25"/>
    <mergeCell ref="A26:I26"/>
    <mergeCell ref="A27:E27"/>
    <mergeCell ref="F27:I27"/>
    <mergeCell ref="A28:I28"/>
    <mergeCell ref="A29:I29"/>
    <mergeCell ref="A30:I30"/>
    <mergeCell ref="A31:B31"/>
    <mergeCell ref="C31:D31"/>
    <mergeCell ref="E31:I31"/>
    <mergeCell ref="A32:F32"/>
    <mergeCell ref="H32:I32"/>
    <mergeCell ref="A33:I33"/>
    <mergeCell ref="A34:D34"/>
    <mergeCell ref="E34:I34"/>
    <mergeCell ref="A35:B35"/>
    <mergeCell ref="C35:D35"/>
    <mergeCell ref="E35:I35"/>
    <mergeCell ref="A36:H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B54"/>
    <mergeCell ref="C54:D54"/>
    <mergeCell ref="E54:I54"/>
    <mergeCell ref="A55:I55"/>
    <mergeCell ref="A56:I56"/>
    <mergeCell ref="A57:I57"/>
    <mergeCell ref="A58:I58"/>
    <mergeCell ref="A59:I59"/>
    <mergeCell ref="A60:I60"/>
    <mergeCell ref="A66:I66"/>
    <mergeCell ref="A67:I67"/>
    <mergeCell ref="A61:I61"/>
    <mergeCell ref="A62:I62"/>
    <mergeCell ref="A63:I63"/>
    <mergeCell ref="A64:I64"/>
    <mergeCell ref="A65:I65"/>
  </mergeCells>
  <pageMargins left="0.7" right="0.7" top="0.75" bottom="0.75" header="0.3" footer="0.3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126"/>
  <sheetViews>
    <sheetView zoomScaleNormal="100" workbookViewId="0">
      <selection activeCell="J3" sqref="J3"/>
    </sheetView>
  </sheetViews>
  <sheetFormatPr defaultRowHeight="18" customHeight="1" x14ac:dyDescent="0.25"/>
  <cols>
    <col min="1" max="1" width="4.85546875" style="72" customWidth="1"/>
    <col min="2" max="3" width="9.140625" style="72"/>
    <col min="4" max="4" width="9.5703125" style="72" bestFit="1" customWidth="1"/>
    <col min="5" max="5" width="10.85546875" style="72" customWidth="1"/>
    <col min="6" max="6" width="9.140625" style="72"/>
    <col min="7" max="7" width="8.42578125" style="72" customWidth="1"/>
    <col min="8" max="8" width="8.85546875" style="72" customWidth="1"/>
    <col min="9" max="9" width="15.28515625" style="72" customWidth="1"/>
    <col min="10" max="10" width="8.85546875" style="65" customWidth="1"/>
    <col min="11" max="13" width="9.140625" style="65"/>
    <col min="14" max="15" width="9.28515625" style="65" bestFit="1" customWidth="1"/>
    <col min="16" max="16" width="9.5703125" style="65" bestFit="1" customWidth="1"/>
    <col min="17" max="17" width="13.42578125" style="65" customWidth="1"/>
  </cols>
  <sheetData>
    <row r="2" spans="1:10" ht="18" customHeight="1" x14ac:dyDescent="0.25">
      <c r="A2" s="529" t="s">
        <v>150</v>
      </c>
      <c r="B2" s="529"/>
      <c r="C2" s="529"/>
      <c r="D2" s="529"/>
      <c r="E2" s="529"/>
      <c r="F2" s="529"/>
      <c r="G2" s="529"/>
      <c r="H2" s="529"/>
      <c r="I2" s="529"/>
    </row>
    <row r="3" spans="1:10" ht="18" customHeight="1" x14ac:dyDescent="0.25">
      <c r="A3" s="66"/>
      <c r="B3" s="66"/>
      <c r="C3" s="66"/>
      <c r="D3" s="66"/>
      <c r="E3" s="66"/>
      <c r="F3" s="66"/>
      <c r="G3" s="66"/>
      <c r="H3" s="66"/>
      <c r="I3" s="66"/>
    </row>
    <row r="4" spans="1:10" ht="18" customHeight="1" x14ac:dyDescent="0.25">
      <c r="A4" s="67">
        <v>1</v>
      </c>
      <c r="B4" s="842" t="s">
        <v>151</v>
      </c>
      <c r="C4" s="842"/>
      <c r="D4" s="842"/>
      <c r="E4" s="842"/>
      <c r="F4" s="842" t="s">
        <v>149</v>
      </c>
      <c r="G4" s="842"/>
      <c r="H4" s="842"/>
      <c r="I4" s="842"/>
    </row>
    <row r="5" spans="1:10" ht="18" customHeight="1" x14ac:dyDescent="0.25">
      <c r="A5" s="67">
        <v>2</v>
      </c>
      <c r="B5" s="842" t="s">
        <v>152</v>
      </c>
      <c r="C5" s="842"/>
      <c r="D5" s="842"/>
      <c r="E5" s="842"/>
      <c r="F5" s="843">
        <v>30492</v>
      </c>
      <c r="G5" s="843"/>
      <c r="H5" s="843"/>
      <c r="I5" s="843"/>
      <c r="J5" s="68"/>
    </row>
    <row r="6" spans="1:10" ht="18" customHeight="1" x14ac:dyDescent="0.25">
      <c r="A6" s="67">
        <v>3</v>
      </c>
      <c r="B6" s="842" t="s">
        <v>153</v>
      </c>
      <c r="C6" s="842"/>
      <c r="D6" s="842"/>
      <c r="E6" s="842"/>
      <c r="F6" s="842" t="s">
        <v>74</v>
      </c>
      <c r="G6" s="842"/>
      <c r="H6" s="842"/>
      <c r="I6" s="842"/>
    </row>
    <row r="7" spans="1:10" ht="18" customHeight="1" x14ac:dyDescent="0.25">
      <c r="A7" s="67">
        <v>4</v>
      </c>
      <c r="B7" s="842" t="s">
        <v>154</v>
      </c>
      <c r="C7" s="842"/>
      <c r="D7" s="842"/>
      <c r="E7" s="842"/>
      <c r="F7" s="842" t="s">
        <v>666</v>
      </c>
      <c r="G7" s="842"/>
      <c r="H7" s="842"/>
      <c r="I7" s="842"/>
    </row>
    <row r="8" spans="1:10" ht="18" customHeight="1" x14ac:dyDescent="0.25">
      <c r="A8" s="67">
        <v>5</v>
      </c>
      <c r="B8" s="842" t="s">
        <v>155</v>
      </c>
      <c r="C8" s="842"/>
      <c r="D8" s="842"/>
      <c r="E8" s="842"/>
      <c r="F8" s="842" t="s">
        <v>703</v>
      </c>
      <c r="G8" s="842"/>
      <c r="H8" s="842"/>
      <c r="I8" s="842"/>
    </row>
    <row r="9" spans="1:10" ht="18" customHeight="1" x14ac:dyDescent="0.25">
      <c r="A9" s="67">
        <v>6</v>
      </c>
      <c r="B9" s="842" t="s">
        <v>156</v>
      </c>
      <c r="C9" s="842"/>
      <c r="D9" s="842"/>
      <c r="E9" s="842"/>
      <c r="F9" s="844">
        <v>22506198300063</v>
      </c>
      <c r="G9" s="844"/>
      <c r="H9" s="844"/>
      <c r="I9" s="844"/>
    </row>
    <row r="10" spans="1:10" ht="18" customHeight="1" x14ac:dyDescent="0.25">
      <c r="A10" s="67">
        <v>7</v>
      </c>
      <c r="B10" s="842" t="s">
        <v>157</v>
      </c>
      <c r="C10" s="842"/>
      <c r="D10" s="842"/>
      <c r="E10" s="842"/>
      <c r="F10" s="842" t="s">
        <v>158</v>
      </c>
      <c r="G10" s="842"/>
      <c r="H10" s="842"/>
      <c r="I10" s="842"/>
    </row>
    <row r="11" spans="1:10" ht="18" customHeight="1" x14ac:dyDescent="0.25">
      <c r="A11" s="67">
        <v>8</v>
      </c>
      <c r="B11" s="842" t="s">
        <v>159</v>
      </c>
      <c r="C11" s="842"/>
      <c r="D11" s="842"/>
      <c r="E11" s="842"/>
      <c r="F11" s="842" t="s">
        <v>158</v>
      </c>
      <c r="G11" s="842"/>
      <c r="H11" s="842"/>
      <c r="I11" s="842"/>
    </row>
    <row r="12" spans="1:10" ht="18" customHeight="1" x14ac:dyDescent="0.25">
      <c r="A12" s="67">
        <v>9</v>
      </c>
      <c r="B12" s="842" t="s">
        <v>160</v>
      </c>
      <c r="C12" s="842"/>
      <c r="D12" s="842"/>
      <c r="E12" s="842"/>
      <c r="F12" s="842" t="s">
        <v>161</v>
      </c>
      <c r="G12" s="842"/>
      <c r="H12" s="842"/>
      <c r="I12" s="842"/>
    </row>
    <row r="13" spans="1:10" ht="18" customHeight="1" x14ac:dyDescent="0.25">
      <c r="A13" s="67">
        <v>10</v>
      </c>
      <c r="B13" s="842" t="s">
        <v>162</v>
      </c>
      <c r="C13" s="842"/>
      <c r="D13" s="842"/>
      <c r="E13" s="842"/>
      <c r="F13" s="842"/>
      <c r="G13" s="842"/>
      <c r="H13" s="842"/>
      <c r="I13" s="842"/>
    </row>
    <row r="14" spans="1:10" ht="18" customHeight="1" x14ac:dyDescent="0.25">
      <c r="A14" s="67">
        <v>11</v>
      </c>
      <c r="B14" s="842" t="s">
        <v>163</v>
      </c>
      <c r="C14" s="842"/>
      <c r="D14" s="842"/>
      <c r="E14" s="842"/>
      <c r="F14" s="842" t="s">
        <v>665</v>
      </c>
      <c r="G14" s="842"/>
      <c r="H14" s="842"/>
      <c r="I14" s="842"/>
    </row>
    <row r="15" spans="1:10" ht="18" customHeight="1" x14ac:dyDescent="0.25">
      <c r="A15" s="67">
        <v>12</v>
      </c>
      <c r="B15" s="842" t="s">
        <v>164</v>
      </c>
      <c r="C15" s="842"/>
      <c r="D15" s="842"/>
      <c r="E15" s="842"/>
      <c r="F15" s="842" t="s">
        <v>701</v>
      </c>
      <c r="G15" s="842"/>
      <c r="H15" s="842"/>
      <c r="I15" s="842"/>
    </row>
    <row r="16" spans="1:10" ht="18" customHeight="1" x14ac:dyDescent="0.25">
      <c r="A16" s="67">
        <v>13</v>
      </c>
      <c r="B16" s="842" t="s">
        <v>165</v>
      </c>
      <c r="C16" s="842"/>
      <c r="D16" s="842"/>
      <c r="E16" s="842"/>
      <c r="F16" s="842" t="s">
        <v>166</v>
      </c>
      <c r="G16" s="842"/>
      <c r="H16" s="842"/>
      <c r="I16" s="842"/>
    </row>
    <row r="17" spans="1:9" ht="18" customHeight="1" x14ac:dyDescent="0.25">
      <c r="A17" s="67">
        <v>14</v>
      </c>
      <c r="B17" s="842" t="s">
        <v>167</v>
      </c>
      <c r="C17" s="842"/>
      <c r="D17" s="842"/>
      <c r="E17" s="842"/>
      <c r="F17" s="842" t="s">
        <v>168</v>
      </c>
      <c r="G17" s="842"/>
      <c r="H17" s="842"/>
      <c r="I17" s="842"/>
    </row>
    <row r="18" spans="1:9" ht="18" customHeight="1" x14ac:dyDescent="0.25">
      <c r="A18" s="67">
        <v>15</v>
      </c>
      <c r="B18" s="842" t="s">
        <v>169</v>
      </c>
      <c r="C18" s="842"/>
      <c r="D18" s="842"/>
      <c r="E18" s="842"/>
      <c r="F18" s="842" t="s">
        <v>170</v>
      </c>
      <c r="G18" s="842"/>
      <c r="H18" s="842"/>
      <c r="I18" s="842"/>
    </row>
    <row r="19" spans="1:9" ht="87" customHeight="1" x14ac:dyDescent="0.25">
      <c r="A19" s="67">
        <v>16</v>
      </c>
      <c r="B19" s="845" t="s">
        <v>171</v>
      </c>
      <c r="C19" s="845"/>
      <c r="D19" s="845"/>
      <c r="E19" s="845"/>
      <c r="F19" s="842" t="s">
        <v>172</v>
      </c>
      <c r="G19" s="842"/>
      <c r="H19" s="842"/>
      <c r="I19" s="842"/>
    </row>
    <row r="20" spans="1:9" ht="89.25" customHeight="1" x14ac:dyDescent="0.25">
      <c r="A20" s="67">
        <v>17</v>
      </c>
      <c r="B20" s="845" t="s">
        <v>173</v>
      </c>
      <c r="C20" s="845"/>
      <c r="D20" s="845"/>
      <c r="E20" s="845"/>
      <c r="F20" s="842"/>
      <c r="G20" s="842"/>
      <c r="H20" s="842"/>
      <c r="I20" s="842"/>
    </row>
    <row r="21" spans="1:9" ht="71.25" customHeight="1" x14ac:dyDescent="0.25">
      <c r="A21" s="67">
        <v>18</v>
      </c>
      <c r="B21" s="845" t="s">
        <v>174</v>
      </c>
      <c r="C21" s="845"/>
      <c r="D21" s="845"/>
      <c r="E21" s="845"/>
      <c r="F21" s="842"/>
      <c r="G21" s="842"/>
      <c r="H21" s="842"/>
      <c r="I21" s="842"/>
    </row>
    <row r="22" spans="1:9" ht="18" customHeight="1" x14ac:dyDescent="0.25">
      <c r="A22" s="847" t="s">
        <v>175</v>
      </c>
      <c r="B22" s="847"/>
      <c r="C22" s="847"/>
      <c r="D22" s="847"/>
      <c r="E22" s="847"/>
      <c r="F22" s="847"/>
      <c r="G22" s="847"/>
      <c r="H22" s="847"/>
      <c r="I22" s="847"/>
    </row>
    <row r="23" spans="1:9" ht="18" customHeight="1" x14ac:dyDescent="0.25">
      <c r="A23" s="529" t="s">
        <v>176</v>
      </c>
      <c r="B23" s="529"/>
      <c r="C23" s="529"/>
      <c r="D23" s="529"/>
      <c r="E23" s="529"/>
      <c r="F23" s="529"/>
      <c r="G23" s="529"/>
      <c r="H23" s="529"/>
      <c r="I23" s="529"/>
    </row>
    <row r="24" spans="1:9" ht="18" customHeight="1" x14ac:dyDescent="0.25">
      <c r="A24" s="806" t="s">
        <v>177</v>
      </c>
      <c r="B24" s="806"/>
      <c r="C24" s="806"/>
      <c r="D24" s="806"/>
      <c r="E24" s="806"/>
      <c r="F24" s="806"/>
      <c r="G24" s="806"/>
      <c r="H24" s="806"/>
      <c r="I24" s="806"/>
    </row>
    <row r="25" spans="1:9" ht="18" customHeight="1" x14ac:dyDescent="0.25">
      <c r="A25" s="65"/>
      <c r="B25" s="69"/>
      <c r="C25" s="69"/>
      <c r="D25" s="819" t="s">
        <v>178</v>
      </c>
      <c r="E25" s="819"/>
      <c r="F25" s="819"/>
      <c r="G25" s="819"/>
      <c r="H25" s="70"/>
      <c r="I25" s="70"/>
    </row>
    <row r="26" spans="1:9" ht="18" customHeight="1" x14ac:dyDescent="0.25">
      <c r="A26" s="65"/>
      <c r="B26" s="65"/>
      <c r="C26" s="65"/>
      <c r="D26" s="65"/>
      <c r="E26" s="65"/>
      <c r="F26" s="65"/>
      <c r="G26" s="71"/>
      <c r="H26" s="820" t="s">
        <v>63</v>
      </c>
      <c r="I26" s="820"/>
    </row>
    <row r="27" spans="1:9" ht="18" customHeight="1" x14ac:dyDescent="0.25">
      <c r="A27" s="529" t="s">
        <v>179</v>
      </c>
      <c r="B27" s="529"/>
      <c r="C27" s="529"/>
      <c r="D27" s="529"/>
      <c r="E27" s="65"/>
      <c r="F27" s="65"/>
      <c r="G27" s="529" t="s">
        <v>180</v>
      </c>
      <c r="H27" s="529"/>
      <c r="I27" s="529"/>
    </row>
    <row r="28" spans="1:9" ht="18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</row>
    <row r="29" spans="1:9" ht="18" customHeight="1" x14ac:dyDescent="0.25">
      <c r="A29" s="529" t="s">
        <v>181</v>
      </c>
      <c r="B29" s="529"/>
      <c r="C29" s="529"/>
      <c r="D29" s="529"/>
      <c r="E29" s="529"/>
      <c r="F29" s="529"/>
      <c r="G29" s="529"/>
      <c r="H29" s="529"/>
      <c r="I29" s="529"/>
    </row>
    <row r="30" spans="1:9" ht="18" customHeight="1" x14ac:dyDescent="0.25">
      <c r="A30" s="529" t="s">
        <v>182</v>
      </c>
      <c r="B30" s="529"/>
      <c r="C30" s="529"/>
      <c r="D30" s="529"/>
      <c r="E30" s="529"/>
      <c r="F30" s="529"/>
      <c r="G30" s="529"/>
      <c r="H30" s="529"/>
      <c r="I30" s="529"/>
    </row>
    <row r="31" spans="1:9" ht="18" customHeight="1" x14ac:dyDescent="0.25">
      <c r="A31" s="846" t="s">
        <v>183</v>
      </c>
      <c r="B31" s="846"/>
      <c r="C31" s="846"/>
      <c r="D31" s="846"/>
      <c r="E31" s="846"/>
      <c r="F31" s="846"/>
      <c r="G31" s="846"/>
      <c r="H31" s="846"/>
      <c r="I31" s="846"/>
    </row>
    <row r="32" spans="1:9" ht="18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</row>
    <row r="33" spans="1:9" ht="18" customHeight="1" x14ac:dyDescent="0.25">
      <c r="A33" s="529" t="s">
        <v>184</v>
      </c>
      <c r="B33" s="529"/>
      <c r="C33" s="529"/>
      <c r="D33" s="529"/>
      <c r="E33" s="529"/>
      <c r="F33" s="529"/>
      <c r="G33" s="529"/>
      <c r="H33" s="529"/>
      <c r="I33" s="529"/>
    </row>
    <row r="37" spans="1:9" ht="18" customHeight="1" x14ac:dyDescent="0.25">
      <c r="A37" s="96"/>
      <c r="B37" s="96"/>
      <c r="C37" s="96"/>
      <c r="D37" s="96"/>
      <c r="E37" s="96"/>
      <c r="F37" s="96"/>
      <c r="G37" s="792" t="s">
        <v>185</v>
      </c>
      <c r="H37" s="792"/>
      <c r="I37" s="792"/>
    </row>
    <row r="38" spans="1:9" ht="18" customHeight="1" x14ac:dyDescent="0.25">
      <c r="A38" s="96"/>
      <c r="B38" s="96"/>
      <c r="C38" s="96"/>
      <c r="D38" s="96"/>
      <c r="E38" s="96"/>
      <c r="F38" s="96"/>
      <c r="G38" s="792" t="s">
        <v>186</v>
      </c>
      <c r="H38" s="792"/>
      <c r="I38" s="792"/>
    </row>
    <row r="39" spans="1:9" ht="18" customHeight="1" x14ac:dyDescent="0.25">
      <c r="A39" s="96"/>
      <c r="B39" s="96"/>
      <c r="C39" s="96"/>
      <c r="D39" s="96"/>
      <c r="E39" s="96"/>
      <c r="F39" s="96"/>
      <c r="G39" s="792" t="s">
        <v>187</v>
      </c>
      <c r="H39" s="792"/>
      <c r="I39" s="792"/>
    </row>
    <row r="40" spans="1:9" ht="18" customHeight="1" x14ac:dyDescent="0.25">
      <c r="A40" s="96"/>
      <c r="B40" s="96"/>
      <c r="C40" s="96"/>
      <c r="D40" s="96"/>
      <c r="E40" s="96"/>
      <c r="F40" s="96"/>
      <c r="G40" s="792" t="s">
        <v>188</v>
      </c>
      <c r="H40" s="792"/>
      <c r="I40" s="792"/>
    </row>
    <row r="41" spans="1:9" ht="18" customHeight="1" x14ac:dyDescent="0.25">
      <c r="A41" s="96"/>
      <c r="B41" s="96"/>
      <c r="C41" s="96"/>
      <c r="D41" s="96"/>
      <c r="E41" s="96"/>
      <c r="F41" s="96"/>
      <c r="G41" s="792" t="s">
        <v>189</v>
      </c>
      <c r="H41" s="792"/>
      <c r="I41" s="792"/>
    </row>
    <row r="42" spans="1:9" ht="18" customHeight="1" x14ac:dyDescent="0.25">
      <c r="A42" s="96"/>
      <c r="B42" s="96"/>
      <c r="C42" s="96"/>
      <c r="D42" s="96"/>
      <c r="E42" s="96"/>
      <c r="F42" s="96"/>
      <c r="G42" s="792" t="s">
        <v>190</v>
      </c>
      <c r="H42" s="792"/>
      <c r="I42" s="792"/>
    </row>
    <row r="43" spans="1:9" ht="18" customHeight="1" x14ac:dyDescent="0.25">
      <c r="A43" s="96"/>
      <c r="B43" s="96"/>
      <c r="C43" s="96"/>
      <c r="D43" s="96"/>
      <c r="E43" s="96"/>
      <c r="F43" s="96"/>
      <c r="G43" s="96"/>
      <c r="H43" s="96"/>
      <c r="I43" s="96"/>
    </row>
    <row r="44" spans="1:9" ht="18" customHeight="1" x14ac:dyDescent="0.25">
      <c r="A44" s="96"/>
      <c r="B44" s="96"/>
      <c r="C44" s="96"/>
      <c r="D44" s="96"/>
      <c r="E44" s="96"/>
      <c r="F44" s="96"/>
      <c r="G44" s="96"/>
      <c r="H44" s="96"/>
      <c r="I44" s="96"/>
    </row>
    <row r="45" spans="1:9" ht="18" customHeight="1" x14ac:dyDescent="0.25">
      <c r="A45" s="96"/>
      <c r="B45" s="96"/>
      <c r="C45" s="96"/>
      <c r="D45" s="96"/>
      <c r="E45" s="96"/>
      <c r="F45" s="96"/>
      <c r="G45" s="96"/>
      <c r="H45" s="96"/>
      <c r="I45" s="96"/>
    </row>
    <row r="46" spans="1:9" ht="18" customHeight="1" x14ac:dyDescent="0.25">
      <c r="A46" s="529" t="s">
        <v>191</v>
      </c>
      <c r="B46" s="529"/>
      <c r="C46" s="529"/>
      <c r="D46" s="529"/>
      <c r="E46" s="529"/>
      <c r="F46" s="529"/>
      <c r="G46" s="529"/>
      <c r="H46" s="529"/>
      <c r="I46" s="529"/>
    </row>
    <row r="47" spans="1:9" ht="18" customHeight="1" x14ac:dyDescent="0.25">
      <c r="A47" s="531" t="s">
        <v>192</v>
      </c>
      <c r="B47" s="531"/>
      <c r="C47" s="531"/>
      <c r="D47" s="531"/>
      <c r="E47" s="531"/>
      <c r="F47" s="531"/>
      <c r="G47" s="531"/>
      <c r="H47" s="531"/>
      <c r="I47" s="531"/>
    </row>
    <row r="48" spans="1:9" ht="18" customHeight="1" x14ac:dyDescent="0.25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8" customHeight="1" x14ac:dyDescent="0.25">
      <c r="A49" s="96"/>
      <c r="B49" s="96" t="s">
        <v>193</v>
      </c>
      <c r="C49" s="807" t="s">
        <v>149</v>
      </c>
      <c r="D49" s="807"/>
      <c r="E49" s="807"/>
      <c r="F49" s="807"/>
      <c r="G49" s="807" t="s">
        <v>194</v>
      </c>
      <c r="H49" s="807"/>
      <c r="I49" s="807"/>
    </row>
    <row r="50" spans="1:9" ht="18" customHeight="1" x14ac:dyDescent="0.25">
      <c r="A50" s="792" t="s">
        <v>195</v>
      </c>
      <c r="B50" s="792"/>
      <c r="C50" s="792"/>
      <c r="D50" s="529" t="str">
        <f>Дог.!A18</f>
        <v>ХХХХ ХХХХ ХХХХ</v>
      </c>
      <c r="E50" s="529"/>
      <c r="F50" s="529"/>
      <c r="G50" s="529"/>
      <c r="H50" s="137" t="s">
        <v>236</v>
      </c>
      <c r="I50" s="139" t="str">
        <f>Дог.!A23</f>
        <v>ХХХХХ</v>
      </c>
    </row>
    <row r="51" spans="1:9" ht="18" customHeight="1" x14ac:dyDescent="0.25">
      <c r="A51" s="792" t="s">
        <v>196</v>
      </c>
      <c r="B51" s="792"/>
      <c r="C51" s="830">
        <f ca="1">'Пр №1'!J21</f>
        <v>46031</v>
      </c>
      <c r="D51" s="807"/>
      <c r="E51" s="792" t="s">
        <v>197</v>
      </c>
      <c r="F51" s="792"/>
      <c r="G51" s="77">
        <f ca="1">'Пр №1'!J20</f>
        <v>46031.871582060186</v>
      </c>
      <c r="H51" s="792" t="s">
        <v>667</v>
      </c>
      <c r="I51" s="792"/>
    </row>
    <row r="52" spans="1:9" ht="18" customHeight="1" x14ac:dyDescent="0.25">
      <c r="A52" s="792" t="s">
        <v>668</v>
      </c>
      <c r="B52" s="792"/>
      <c r="C52" s="792"/>
      <c r="D52" s="792"/>
      <c r="E52" s="792"/>
      <c r="F52" s="792"/>
      <c r="G52" s="792"/>
      <c r="H52" s="792"/>
      <c r="I52" s="97" t="str">
        <f>Дог.!B13</f>
        <v xml:space="preserve">г. Бишкек </v>
      </c>
    </row>
    <row r="53" spans="1:9" ht="18" customHeight="1" x14ac:dyDescent="0.25">
      <c r="A53" s="792" t="str">
        <f>Дог.!L8</f>
        <v>ул. Лермонтова д.№ 68</v>
      </c>
      <c r="B53" s="792"/>
      <c r="C53" s="792"/>
      <c r="D53" s="792" t="s">
        <v>237</v>
      </c>
      <c r="E53" s="792"/>
      <c r="F53" s="792"/>
      <c r="G53" s="792"/>
      <c r="H53" s="792"/>
      <c r="I53" s="792"/>
    </row>
    <row r="54" spans="1:9" ht="18" customHeight="1" x14ac:dyDescent="0.25">
      <c r="A54" s="806" t="str">
        <f>'Пр №1'!B20</f>
        <v>XXXXXXX</v>
      </c>
      <c r="B54" s="806"/>
      <c r="C54" s="806"/>
      <c r="D54" s="806"/>
      <c r="E54" s="806"/>
      <c r="F54" s="806"/>
      <c r="G54" s="806"/>
      <c r="H54" s="806"/>
      <c r="I54" s="806"/>
    </row>
    <row r="55" spans="1:9" ht="18" customHeight="1" x14ac:dyDescent="0.25">
      <c r="A55" s="792" t="s">
        <v>198</v>
      </c>
      <c r="B55" s="792"/>
      <c r="C55" s="792"/>
      <c r="D55" s="792"/>
      <c r="E55" s="792"/>
      <c r="F55" s="840">
        <f>'Акт прием'!N21</f>
        <v>35000</v>
      </c>
      <c r="G55" s="840"/>
      <c r="H55" s="792" t="s">
        <v>199</v>
      </c>
      <c r="I55" s="792"/>
    </row>
    <row r="56" spans="1:9" ht="18" customHeight="1" x14ac:dyDescent="0.25">
      <c r="A56" s="792" t="s">
        <v>243</v>
      </c>
      <c r="B56" s="792"/>
      <c r="C56" s="792"/>
      <c r="D56" s="792"/>
      <c r="E56" s="792"/>
      <c r="F56" s="841">
        <f ca="1">'Акт расч'!P49</f>
        <v>-3000</v>
      </c>
      <c r="G56" s="841"/>
      <c r="H56" s="792" t="s">
        <v>200</v>
      </c>
      <c r="I56" s="792"/>
    </row>
    <row r="57" spans="1:9" ht="18" customHeight="1" x14ac:dyDescent="0.25">
      <c r="A57" s="529" t="str">
        <f>TRIM(SUBSTITUTE(LEFT(D50&amp;" ",SEARCH(" ",D50&amp;" ")+1)&amp;"."&amp; MID(D50&amp;" ",SEARCH(" ",D50&amp;" ",SEARCH(" ",D50&amp;" ")+1),2)&amp;"."," .",))</f>
        <v>ХХХХ Х. Х.</v>
      </c>
      <c r="B57" s="529"/>
      <c r="C57" s="529"/>
      <c r="D57" s="529"/>
      <c r="E57" s="792" t="s">
        <v>201</v>
      </c>
      <c r="F57" s="792"/>
      <c r="G57" s="792"/>
      <c r="H57" s="792"/>
      <c r="I57" s="792"/>
    </row>
    <row r="58" spans="1:9" ht="18" customHeight="1" x14ac:dyDescent="0.25">
      <c r="A58" s="838">
        <f ca="1">F55+F56</f>
        <v>32000</v>
      </c>
      <c r="B58" s="838"/>
      <c r="C58" s="838"/>
      <c r="D58" s="96"/>
      <c r="E58" s="96"/>
      <c r="F58" s="96"/>
      <c r="G58" s="76"/>
      <c r="H58" s="96"/>
      <c r="I58" s="96"/>
    </row>
    <row r="59" spans="1:9" ht="18" customHeight="1" x14ac:dyDescent="0.25">
      <c r="A59" s="96"/>
      <c r="B59" s="96"/>
      <c r="C59" s="96"/>
      <c r="D59" s="96"/>
      <c r="E59" s="96"/>
      <c r="F59" s="96"/>
      <c r="G59" s="76"/>
      <c r="H59" s="96"/>
      <c r="I59" s="96"/>
    </row>
    <row r="60" spans="1:9" ht="18" customHeight="1" x14ac:dyDescent="0.25">
      <c r="A60" s="96"/>
      <c r="B60" s="96"/>
      <c r="C60" s="96"/>
      <c r="D60" s="96"/>
      <c r="E60" s="96"/>
      <c r="F60" s="96"/>
      <c r="G60" s="76"/>
      <c r="H60" s="96"/>
      <c r="I60" s="96"/>
    </row>
    <row r="61" spans="1:9" ht="18" customHeight="1" x14ac:dyDescent="0.25">
      <c r="A61" s="96"/>
      <c r="B61" s="96"/>
      <c r="C61" s="96"/>
      <c r="D61" s="96"/>
      <c r="E61" s="96"/>
      <c r="F61" s="96"/>
      <c r="G61" s="76"/>
      <c r="H61" s="96"/>
      <c r="I61" s="96"/>
    </row>
    <row r="62" spans="1:9" ht="18" customHeight="1" x14ac:dyDescent="0.25">
      <c r="A62" s="96"/>
      <c r="B62" s="96"/>
      <c r="C62" s="96"/>
      <c r="D62" s="96"/>
      <c r="E62" s="96"/>
      <c r="F62" s="96"/>
      <c r="G62" s="76"/>
      <c r="H62" s="96"/>
      <c r="I62" s="96"/>
    </row>
    <row r="63" spans="1:9" ht="18" customHeight="1" x14ac:dyDescent="0.25">
      <c r="A63" s="96"/>
      <c r="B63" s="96"/>
      <c r="C63" s="137"/>
      <c r="D63" s="96"/>
      <c r="E63" s="96"/>
      <c r="F63" s="96"/>
      <c r="G63" s="76"/>
      <c r="H63" s="96"/>
      <c r="I63" s="96"/>
    </row>
    <row r="64" spans="1:9" ht="18" customHeight="1" x14ac:dyDescent="0.25">
      <c r="A64" s="839" t="s">
        <v>202</v>
      </c>
      <c r="B64" s="839"/>
      <c r="C64" s="839"/>
      <c r="D64" s="839"/>
      <c r="E64" s="839"/>
      <c r="F64" s="839"/>
      <c r="G64" s="839"/>
      <c r="H64" s="839"/>
      <c r="I64" s="839"/>
    </row>
    <row r="65" spans="1:9" ht="18" customHeight="1" x14ac:dyDescent="0.25">
      <c r="A65" s="837" t="s">
        <v>203</v>
      </c>
      <c r="B65" s="837"/>
      <c r="C65" s="837"/>
      <c r="D65" s="837"/>
      <c r="E65" s="837"/>
      <c r="F65" s="837"/>
      <c r="G65" s="837"/>
      <c r="H65" s="837"/>
      <c r="I65" s="837"/>
    </row>
    <row r="66" spans="1:9" ht="18" customHeight="1" x14ac:dyDescent="0.25">
      <c r="A66" s="837" t="s">
        <v>204</v>
      </c>
      <c r="B66" s="837"/>
      <c r="C66" s="837"/>
      <c r="D66" s="837"/>
      <c r="E66" s="837"/>
      <c r="F66" s="837"/>
      <c r="G66" s="837"/>
      <c r="H66" s="837"/>
      <c r="I66" s="837"/>
    </row>
    <row r="67" spans="1:9" ht="18" customHeight="1" x14ac:dyDescent="0.25">
      <c r="A67" s="837" t="s">
        <v>205</v>
      </c>
      <c r="B67" s="837"/>
      <c r="C67" s="837"/>
      <c r="D67" s="837"/>
      <c r="E67" s="837"/>
      <c r="F67" s="837"/>
      <c r="G67" s="837"/>
      <c r="H67" s="837"/>
      <c r="I67" s="837"/>
    </row>
    <row r="68" spans="1:9" ht="18" customHeight="1" x14ac:dyDescent="0.25">
      <c r="A68" s="837" t="s">
        <v>206</v>
      </c>
      <c r="B68" s="837"/>
      <c r="C68" s="837"/>
      <c r="D68" s="837"/>
      <c r="E68" s="837"/>
      <c r="F68" s="837"/>
      <c r="G68" s="837"/>
      <c r="H68" s="837"/>
      <c r="I68" s="837"/>
    </row>
    <row r="69" spans="1:9" ht="18" customHeight="1" x14ac:dyDescent="0.25">
      <c r="A69" s="837" t="s">
        <v>207</v>
      </c>
      <c r="B69" s="837"/>
      <c r="C69" s="837"/>
      <c r="D69" s="837"/>
      <c r="E69" s="837"/>
      <c r="F69" s="837"/>
      <c r="G69" s="837"/>
      <c r="H69" s="837"/>
      <c r="I69" s="837"/>
    </row>
    <row r="70" spans="1:9" ht="18" customHeight="1" x14ac:dyDescent="0.25">
      <c r="A70" s="837" t="s">
        <v>208</v>
      </c>
      <c r="B70" s="837"/>
      <c r="C70" s="837"/>
      <c r="D70" s="837"/>
      <c r="E70" s="837"/>
      <c r="F70" s="837"/>
      <c r="G70" s="837"/>
      <c r="H70" s="837"/>
      <c r="I70" s="837"/>
    </row>
    <row r="71" spans="1:9" ht="18" customHeight="1" x14ac:dyDescent="0.25">
      <c r="A71" s="115"/>
      <c r="B71" s="115"/>
      <c r="C71" s="115"/>
      <c r="D71" s="115"/>
      <c r="E71" s="115"/>
      <c r="F71" s="115"/>
      <c r="G71" s="115"/>
      <c r="H71" s="115"/>
      <c r="I71" s="115"/>
    </row>
    <row r="72" spans="1:9" ht="18" customHeight="1" x14ac:dyDescent="0.25">
      <c r="A72" s="96"/>
      <c r="B72" s="78"/>
      <c r="C72" s="78"/>
      <c r="D72" s="836" t="s">
        <v>178</v>
      </c>
      <c r="E72" s="836"/>
      <c r="F72" s="836"/>
      <c r="G72" s="836"/>
      <c r="H72" s="79"/>
      <c r="I72" s="79"/>
    </row>
    <row r="73" spans="1:9" ht="18" customHeight="1" x14ac:dyDescent="0.25">
      <c r="A73" s="96"/>
      <c r="B73" s="96"/>
      <c r="C73" s="96"/>
      <c r="D73" s="80"/>
      <c r="E73" s="80"/>
      <c r="F73" s="80"/>
      <c r="G73" s="81"/>
      <c r="H73" s="820" t="s">
        <v>63</v>
      </c>
      <c r="I73" s="820"/>
    </row>
    <row r="74" spans="1:9" ht="18" customHeight="1" x14ac:dyDescent="0.25">
      <c r="A74" s="115"/>
      <c r="B74" s="115"/>
      <c r="C74" s="115"/>
      <c r="D74" s="115"/>
      <c r="E74" s="115"/>
      <c r="F74" s="115"/>
      <c r="G74" s="115"/>
      <c r="H74" s="115"/>
      <c r="I74" s="115"/>
    </row>
    <row r="75" spans="1:9" ht="18" customHeight="1" x14ac:dyDescent="0.25">
      <c r="A75" s="115"/>
      <c r="B75" s="138" t="s">
        <v>193</v>
      </c>
      <c r="C75" s="832" t="s">
        <v>209</v>
      </c>
      <c r="D75" s="832"/>
      <c r="E75" s="835" t="s">
        <v>244</v>
      </c>
      <c r="F75" s="835"/>
      <c r="G75" s="835"/>
      <c r="H75" s="835"/>
      <c r="I75" s="835"/>
    </row>
    <row r="76" spans="1:9" ht="18" customHeight="1" x14ac:dyDescent="0.25">
      <c r="A76" s="835" t="s">
        <v>210</v>
      </c>
      <c r="B76" s="835"/>
      <c r="C76" s="835"/>
      <c r="D76" s="835"/>
      <c r="E76" s="835"/>
      <c r="F76" s="835"/>
      <c r="G76" s="835"/>
      <c r="H76" s="835"/>
      <c r="I76" s="835"/>
    </row>
    <row r="77" spans="1:9" ht="18" customHeight="1" x14ac:dyDescent="0.25">
      <c r="A77" s="835" t="s">
        <v>327</v>
      </c>
      <c r="B77" s="835"/>
      <c r="C77" s="835"/>
      <c r="D77" s="835"/>
      <c r="E77" s="835"/>
      <c r="F77" s="835"/>
      <c r="G77" s="835"/>
      <c r="H77" s="835"/>
      <c r="I77" s="835"/>
    </row>
    <row r="78" spans="1:9" ht="18" customHeight="1" x14ac:dyDescent="0.25">
      <c r="A78" s="115"/>
      <c r="B78" s="115"/>
      <c r="C78" s="115"/>
      <c r="D78" s="115"/>
      <c r="E78" s="115"/>
      <c r="F78" s="115"/>
      <c r="G78" s="115"/>
      <c r="H78" s="115"/>
      <c r="I78" s="115"/>
    </row>
    <row r="79" spans="1:9" ht="18" customHeight="1" x14ac:dyDescent="0.25">
      <c r="A79" s="96"/>
      <c r="B79" s="78"/>
      <c r="C79" s="78"/>
      <c r="D79" s="836" t="s">
        <v>178</v>
      </c>
      <c r="E79" s="836"/>
      <c r="F79" s="836"/>
      <c r="G79" s="836"/>
      <c r="H79" s="79"/>
      <c r="I79" s="79"/>
    </row>
    <row r="80" spans="1:9" ht="18" customHeight="1" x14ac:dyDescent="0.25">
      <c r="A80" s="96"/>
      <c r="B80" s="96"/>
      <c r="C80" s="96"/>
      <c r="D80" s="80"/>
      <c r="E80" s="80"/>
      <c r="F80" s="80"/>
      <c r="G80" s="81"/>
      <c r="H80" s="820" t="s">
        <v>63</v>
      </c>
      <c r="I80" s="820"/>
    </row>
    <row r="84" spans="7:9" ht="18" customHeight="1" x14ac:dyDescent="0.25">
      <c r="G84" s="792" t="s">
        <v>185</v>
      </c>
      <c r="H84" s="792"/>
      <c r="I84" s="792"/>
    </row>
    <row r="85" spans="7:9" ht="18" customHeight="1" x14ac:dyDescent="0.25">
      <c r="G85" s="792" t="s">
        <v>186</v>
      </c>
      <c r="H85" s="792"/>
      <c r="I85" s="792"/>
    </row>
    <row r="86" spans="7:9" ht="18" customHeight="1" x14ac:dyDescent="0.25">
      <c r="G86" s="792" t="s">
        <v>187</v>
      </c>
      <c r="H86" s="792"/>
      <c r="I86" s="792"/>
    </row>
    <row r="87" spans="7:9" ht="18" customHeight="1" x14ac:dyDescent="0.25">
      <c r="G87" s="792" t="s">
        <v>188</v>
      </c>
      <c r="H87" s="792"/>
      <c r="I87" s="792"/>
    </row>
    <row r="88" spans="7:9" ht="18" customHeight="1" x14ac:dyDescent="0.25">
      <c r="G88" s="792" t="s">
        <v>211</v>
      </c>
      <c r="H88" s="792"/>
      <c r="I88" s="792"/>
    </row>
    <row r="89" spans="7:9" ht="18" customHeight="1" x14ac:dyDescent="0.25">
      <c r="G89" s="792" t="s">
        <v>190</v>
      </c>
      <c r="H89" s="792"/>
      <c r="I89" s="792"/>
    </row>
    <row r="90" spans="7:9" ht="18" customHeight="1" x14ac:dyDescent="0.25">
      <c r="G90" s="807" t="s">
        <v>212</v>
      </c>
      <c r="H90" s="807"/>
      <c r="I90" s="807"/>
    </row>
    <row r="91" spans="7:9" ht="18" customHeight="1" x14ac:dyDescent="0.25">
      <c r="G91" s="792" t="s">
        <v>213</v>
      </c>
      <c r="H91" s="792"/>
      <c r="I91" s="792"/>
    </row>
    <row r="92" spans="7:9" ht="18" customHeight="1" x14ac:dyDescent="0.25">
      <c r="G92" s="792" t="s">
        <v>702</v>
      </c>
      <c r="H92" s="792"/>
      <c r="I92" s="792"/>
    </row>
    <row r="93" spans="7:9" ht="18" customHeight="1" x14ac:dyDescent="0.25">
      <c r="G93" s="792" t="s">
        <v>214</v>
      </c>
      <c r="H93" s="792"/>
      <c r="I93" s="792"/>
    </row>
    <row r="94" spans="7:9" ht="18" customHeight="1" x14ac:dyDescent="0.25">
      <c r="G94" s="792" t="s">
        <v>215</v>
      </c>
      <c r="H94" s="792"/>
      <c r="I94" s="792"/>
    </row>
    <row r="99" spans="1:9" ht="18" customHeight="1" x14ac:dyDescent="0.25">
      <c r="A99" s="529" t="s">
        <v>216</v>
      </c>
      <c r="B99" s="529"/>
      <c r="C99" s="529"/>
      <c r="D99" s="529"/>
      <c r="E99" s="529"/>
      <c r="F99" s="529"/>
      <c r="G99" s="529"/>
      <c r="H99" s="529"/>
      <c r="I99" s="529"/>
    </row>
    <row r="100" spans="1:9" ht="18" customHeight="1" x14ac:dyDescent="0.25">
      <c r="A100" s="66"/>
      <c r="B100" s="66"/>
      <c r="C100" s="66"/>
      <c r="D100" s="66"/>
      <c r="E100" s="66"/>
      <c r="F100" s="66"/>
      <c r="G100" s="66"/>
      <c r="H100" s="66"/>
      <c r="I100" s="66"/>
    </row>
    <row r="101" spans="1:9" ht="18" customHeight="1" x14ac:dyDescent="0.25">
      <c r="A101" s="792" t="s">
        <v>217</v>
      </c>
      <c r="B101" s="792"/>
      <c r="C101" s="792"/>
      <c r="D101" s="792"/>
      <c r="E101" s="792"/>
      <c r="F101" s="792"/>
      <c r="G101" s="792"/>
      <c r="H101" s="792"/>
      <c r="I101" s="792"/>
    </row>
    <row r="102" spans="1:9" ht="18" customHeight="1" x14ac:dyDescent="0.25">
      <c r="A102" s="792" t="s">
        <v>218</v>
      </c>
      <c r="B102" s="792"/>
      <c r="C102" s="792"/>
      <c r="D102" s="792"/>
      <c r="E102" s="792"/>
      <c r="F102" s="792"/>
      <c r="G102" s="792"/>
      <c r="H102" s="792"/>
      <c r="I102" s="792"/>
    </row>
    <row r="103" spans="1:9" ht="18" customHeight="1" x14ac:dyDescent="0.25">
      <c r="A103" s="792" t="s">
        <v>219</v>
      </c>
      <c r="B103" s="792"/>
      <c r="C103" s="792"/>
      <c r="D103" s="792"/>
      <c r="E103" s="792"/>
      <c r="F103" s="792"/>
      <c r="G103" s="792"/>
      <c r="H103" s="792"/>
      <c r="I103" s="792"/>
    </row>
    <row r="104" spans="1:9" ht="18" customHeight="1" x14ac:dyDescent="0.25">
      <c r="A104" s="792" t="s">
        <v>220</v>
      </c>
      <c r="B104" s="792"/>
      <c r="C104" s="792"/>
      <c r="D104" s="792"/>
      <c r="E104" s="792"/>
      <c r="F104" s="832" t="str">
        <f>I52</f>
        <v xml:space="preserve">г. Бишкек </v>
      </c>
      <c r="G104" s="832"/>
      <c r="H104" s="834" t="str">
        <f>A53</f>
        <v>ул. Лермонтова д.№ 68</v>
      </c>
      <c r="I104" s="834"/>
    </row>
    <row r="105" spans="1:9" ht="18" customHeight="1" x14ac:dyDescent="0.25">
      <c r="A105" s="802">
        <f ca="1">C51</f>
        <v>46031</v>
      </c>
      <c r="B105" s="802"/>
      <c r="C105" s="792" t="s">
        <v>221</v>
      </c>
      <c r="D105" s="792"/>
      <c r="E105" s="74">
        <f ca="1">G51</f>
        <v>46031.871582060186</v>
      </c>
      <c r="F105" s="792" t="s">
        <v>222</v>
      </c>
      <c r="G105" s="792"/>
      <c r="H105" s="792"/>
      <c r="I105" s="792"/>
    </row>
    <row r="106" spans="1:9" ht="18" customHeight="1" x14ac:dyDescent="0.25">
      <c r="A106" s="792" t="s">
        <v>223</v>
      </c>
      <c r="B106" s="792"/>
      <c r="C106" s="792"/>
      <c r="D106" s="792"/>
      <c r="E106" s="792"/>
      <c r="F106" s="66" t="s">
        <v>224</v>
      </c>
      <c r="G106" s="792" t="s">
        <v>225</v>
      </c>
      <c r="H106" s="792"/>
      <c r="I106" s="792"/>
    </row>
    <row r="107" spans="1:9" ht="18" customHeight="1" x14ac:dyDescent="0.25">
      <c r="A107" s="792" t="s">
        <v>226</v>
      </c>
      <c r="B107" s="792"/>
      <c r="C107" s="792"/>
      <c r="D107" s="792"/>
      <c r="E107" s="792"/>
      <c r="F107" s="792"/>
      <c r="G107" s="792"/>
      <c r="H107" s="792"/>
      <c r="I107" s="792"/>
    </row>
    <row r="108" spans="1:9" ht="18" customHeight="1" x14ac:dyDescent="0.25">
      <c r="A108" s="96" t="s">
        <v>227</v>
      </c>
      <c r="B108" s="833" t="str">
        <f>A54</f>
        <v>XXXXXXX</v>
      </c>
      <c r="C108" s="833"/>
      <c r="D108" s="833"/>
      <c r="E108" s="833"/>
      <c r="F108" s="833"/>
      <c r="G108" s="833"/>
      <c r="H108" s="833"/>
      <c r="I108" s="833"/>
    </row>
    <row r="109" spans="1:9" ht="18" customHeight="1" x14ac:dyDescent="0.25">
      <c r="A109" s="807" t="s">
        <v>238</v>
      </c>
      <c r="B109" s="807"/>
      <c r="C109" s="807"/>
      <c r="D109" s="807"/>
      <c r="E109" s="807"/>
      <c r="F109" s="807"/>
      <c r="G109" s="807"/>
      <c r="H109" s="807"/>
      <c r="I109" s="807"/>
    </row>
    <row r="110" spans="1:9" ht="18" customHeight="1" x14ac:dyDescent="0.25">
      <c r="A110" s="792" t="s">
        <v>228</v>
      </c>
      <c r="B110" s="792"/>
      <c r="C110" s="792"/>
      <c r="D110" s="792"/>
      <c r="E110" s="792"/>
      <c r="F110" s="792"/>
      <c r="G110" s="792"/>
      <c r="H110" s="792"/>
      <c r="I110" s="792"/>
    </row>
    <row r="111" spans="1:9" ht="18" customHeight="1" x14ac:dyDescent="0.25">
      <c r="A111" s="792" t="s">
        <v>239</v>
      </c>
      <c r="B111" s="792"/>
      <c r="C111" s="792"/>
      <c r="D111" s="792"/>
      <c r="E111" s="792"/>
      <c r="F111" s="792"/>
      <c r="G111" s="529" t="str">
        <f>A57</f>
        <v>ХХХХ Х. Х.</v>
      </c>
      <c r="H111" s="529"/>
      <c r="I111" s="529"/>
    </row>
    <row r="112" spans="1:9" ht="18" customHeight="1" x14ac:dyDescent="0.25">
      <c r="A112" s="792" t="s">
        <v>229</v>
      </c>
      <c r="B112" s="792"/>
      <c r="C112" s="792"/>
      <c r="D112" s="792"/>
      <c r="E112" s="792"/>
      <c r="F112" s="66">
        <v>4</v>
      </c>
      <c r="G112" s="792" t="s">
        <v>669</v>
      </c>
      <c r="H112" s="792"/>
      <c r="I112" s="792"/>
    </row>
    <row r="113" spans="1:9" ht="18" customHeight="1" x14ac:dyDescent="0.25">
      <c r="A113" s="96" t="s">
        <v>230</v>
      </c>
      <c r="B113" s="529" t="str">
        <f>G111</f>
        <v>ХХХХ Х. Х.</v>
      </c>
      <c r="C113" s="529"/>
      <c r="D113" s="529"/>
      <c r="E113" s="792" t="s">
        <v>231</v>
      </c>
      <c r="F113" s="792"/>
      <c r="G113" s="792"/>
      <c r="H113" s="792"/>
      <c r="I113" s="792"/>
    </row>
    <row r="114" spans="1:9" ht="18" customHeight="1" x14ac:dyDescent="0.25">
      <c r="A114" s="792" t="s">
        <v>616</v>
      </c>
      <c r="B114" s="792"/>
      <c r="C114" s="792"/>
      <c r="D114" s="792"/>
      <c r="E114" s="792"/>
      <c r="F114" s="792"/>
      <c r="G114" s="792"/>
      <c r="H114" s="792"/>
      <c r="I114" s="792"/>
    </row>
    <row r="115" spans="1:9" ht="18" customHeight="1" x14ac:dyDescent="0.25">
      <c r="A115" s="792" t="s">
        <v>232</v>
      </c>
      <c r="B115" s="792"/>
      <c r="C115" s="792"/>
      <c r="D115" s="792"/>
      <c r="E115" s="792"/>
      <c r="F115" s="792"/>
      <c r="G115" s="792"/>
      <c r="H115" s="792"/>
      <c r="I115" s="792"/>
    </row>
    <row r="116" spans="1:9" ht="18" customHeight="1" x14ac:dyDescent="0.25">
      <c r="A116" s="792" t="s">
        <v>615</v>
      </c>
      <c r="B116" s="792"/>
      <c r="C116" s="792"/>
      <c r="D116" s="792"/>
      <c r="E116" s="792"/>
      <c r="F116" s="792"/>
      <c r="G116" s="792"/>
      <c r="H116" s="792"/>
      <c r="I116" s="792"/>
    </row>
    <row r="117" spans="1:9" ht="18" customHeight="1" x14ac:dyDescent="0.25">
      <c r="A117" s="792" t="s">
        <v>233</v>
      </c>
      <c r="B117" s="792"/>
      <c r="C117" s="792"/>
      <c r="D117" s="792"/>
      <c r="E117" s="792"/>
      <c r="F117" s="792"/>
      <c r="G117" s="792"/>
      <c r="H117" s="792"/>
      <c r="I117" s="792"/>
    </row>
    <row r="118" spans="1:9" ht="18" customHeight="1" x14ac:dyDescent="0.25">
      <c r="A118" s="807"/>
      <c r="B118" s="807"/>
      <c r="C118" s="807"/>
      <c r="D118" s="807"/>
      <c r="E118" s="807"/>
      <c r="F118" s="807"/>
      <c r="G118" s="807"/>
      <c r="H118" s="807"/>
      <c r="I118" s="807"/>
    </row>
    <row r="119" spans="1:9" ht="18" customHeight="1" x14ac:dyDescent="0.25">
      <c r="A119" s="807"/>
      <c r="B119" s="807"/>
      <c r="C119" s="807"/>
      <c r="D119" s="807"/>
      <c r="E119" s="807"/>
      <c r="F119" s="807"/>
      <c r="G119" s="807"/>
      <c r="H119" s="807"/>
      <c r="I119" s="807"/>
    </row>
    <row r="120" spans="1:9" ht="18" customHeight="1" x14ac:dyDescent="0.25">
      <c r="A120" s="807"/>
      <c r="B120" s="807"/>
      <c r="C120" s="807"/>
      <c r="D120" s="807"/>
      <c r="E120" s="807"/>
      <c r="F120" s="807"/>
      <c r="G120" s="807"/>
      <c r="H120" s="807"/>
      <c r="I120" s="807"/>
    </row>
    <row r="121" spans="1:9" ht="18" customHeight="1" x14ac:dyDescent="0.25">
      <c r="A121" s="807"/>
      <c r="B121" s="807"/>
      <c r="C121" s="807"/>
      <c r="D121" s="807"/>
      <c r="E121" s="807"/>
      <c r="F121" s="807"/>
      <c r="G121" s="807"/>
      <c r="H121" s="807"/>
      <c r="I121" s="807"/>
    </row>
    <row r="122" spans="1:9" ht="18" customHeight="1" x14ac:dyDescent="0.25">
      <c r="A122" s="807"/>
      <c r="B122" s="807"/>
      <c r="C122" s="807"/>
      <c r="D122" s="807"/>
      <c r="E122" s="807"/>
      <c r="F122" s="807"/>
      <c r="G122" s="807"/>
      <c r="H122" s="807"/>
      <c r="I122" s="807"/>
    </row>
    <row r="123" spans="1:9" ht="18" customHeight="1" x14ac:dyDescent="0.25">
      <c r="A123" s="807" t="s">
        <v>234</v>
      </c>
      <c r="B123" s="807"/>
      <c r="C123" s="807"/>
      <c r="D123" s="807"/>
      <c r="E123" s="807"/>
      <c r="F123" s="807"/>
      <c r="G123" s="807"/>
      <c r="H123" s="807"/>
      <c r="I123" s="807"/>
    </row>
    <row r="124" spans="1:9" ht="18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8" customHeight="1" x14ac:dyDescent="0.25">
      <c r="B125" s="73"/>
      <c r="C125" s="73"/>
      <c r="D125" s="819" t="s">
        <v>235</v>
      </c>
      <c r="E125" s="819"/>
      <c r="F125" s="819"/>
      <c r="G125" s="819"/>
      <c r="H125" s="70"/>
      <c r="I125" s="70"/>
    </row>
    <row r="126" spans="1:9" ht="18" customHeight="1" x14ac:dyDescent="0.25">
      <c r="D126" s="65"/>
      <c r="E126" s="65"/>
      <c r="F126" s="65"/>
      <c r="G126" s="71"/>
      <c r="H126" s="820" t="s">
        <v>63</v>
      </c>
      <c r="I126" s="820"/>
    </row>
  </sheetData>
  <mergeCells count="137">
    <mergeCell ref="A30:I30"/>
    <mergeCell ref="A31:I31"/>
    <mergeCell ref="A33:I33"/>
    <mergeCell ref="A22:I22"/>
    <mergeCell ref="A23:I23"/>
    <mergeCell ref="A24:I24"/>
    <mergeCell ref="D25:G25"/>
    <mergeCell ref="H26:I26"/>
    <mergeCell ref="A27:D27"/>
    <mergeCell ref="G27:I27"/>
    <mergeCell ref="B18:E18"/>
    <mergeCell ref="F18:I18"/>
    <mergeCell ref="B19:E19"/>
    <mergeCell ref="F19:I19"/>
    <mergeCell ref="B20:E20"/>
    <mergeCell ref="F20:I20"/>
    <mergeCell ref="B21:E21"/>
    <mergeCell ref="F21:I21"/>
    <mergeCell ref="A29:I29"/>
    <mergeCell ref="B13:E13"/>
    <mergeCell ref="F13:I13"/>
    <mergeCell ref="B14:E14"/>
    <mergeCell ref="F14:I14"/>
    <mergeCell ref="B15:E15"/>
    <mergeCell ref="F15:I15"/>
    <mergeCell ref="B16:E16"/>
    <mergeCell ref="F16:I16"/>
    <mergeCell ref="B17:E17"/>
    <mergeCell ref="F17:I17"/>
    <mergeCell ref="G37:I37"/>
    <mergeCell ref="G38:I38"/>
    <mergeCell ref="G39:I39"/>
    <mergeCell ref="G40:I40"/>
    <mergeCell ref="G41:I41"/>
    <mergeCell ref="B6:E6"/>
    <mergeCell ref="F6:I6"/>
    <mergeCell ref="A2:I2"/>
    <mergeCell ref="B4:E4"/>
    <mergeCell ref="F4:I4"/>
    <mergeCell ref="B5:E5"/>
    <mergeCell ref="F5:I5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B12:E12"/>
    <mergeCell ref="F12:I12"/>
    <mergeCell ref="A50:C50"/>
    <mergeCell ref="D50:G50"/>
    <mergeCell ref="A51:B51"/>
    <mergeCell ref="C51:D51"/>
    <mergeCell ref="E51:F51"/>
    <mergeCell ref="G42:I42"/>
    <mergeCell ref="A46:I46"/>
    <mergeCell ref="A47:I47"/>
    <mergeCell ref="C49:F49"/>
    <mergeCell ref="G49:I49"/>
    <mergeCell ref="A55:E55"/>
    <mergeCell ref="F55:G55"/>
    <mergeCell ref="H55:I55"/>
    <mergeCell ref="A56:E56"/>
    <mergeCell ref="F56:G56"/>
    <mergeCell ref="H56:I56"/>
    <mergeCell ref="H51:I51"/>
    <mergeCell ref="A52:H52"/>
    <mergeCell ref="A53:C53"/>
    <mergeCell ref="D53:I53"/>
    <mergeCell ref="A54:I54"/>
    <mergeCell ref="A66:I66"/>
    <mergeCell ref="A67:I67"/>
    <mergeCell ref="A68:I68"/>
    <mergeCell ref="A69:I69"/>
    <mergeCell ref="A70:I70"/>
    <mergeCell ref="A57:D57"/>
    <mergeCell ref="E57:I57"/>
    <mergeCell ref="A58:C58"/>
    <mergeCell ref="A64:I64"/>
    <mergeCell ref="A65:I65"/>
    <mergeCell ref="A77:I77"/>
    <mergeCell ref="D79:G79"/>
    <mergeCell ref="H80:I80"/>
    <mergeCell ref="G84:I84"/>
    <mergeCell ref="G85:I85"/>
    <mergeCell ref="D72:G72"/>
    <mergeCell ref="H73:I73"/>
    <mergeCell ref="C75:D75"/>
    <mergeCell ref="E75:I75"/>
    <mergeCell ref="A76:I76"/>
    <mergeCell ref="G91:I91"/>
    <mergeCell ref="G92:I92"/>
    <mergeCell ref="G93:I93"/>
    <mergeCell ref="G94:I94"/>
    <mergeCell ref="A99:I99"/>
    <mergeCell ref="G86:I86"/>
    <mergeCell ref="G87:I87"/>
    <mergeCell ref="G88:I88"/>
    <mergeCell ref="G89:I89"/>
    <mergeCell ref="G90:I90"/>
    <mergeCell ref="B108:I108"/>
    <mergeCell ref="A109:I109"/>
    <mergeCell ref="A105:B105"/>
    <mergeCell ref="C105:D105"/>
    <mergeCell ref="F105:I105"/>
    <mergeCell ref="A101:I101"/>
    <mergeCell ref="A102:I102"/>
    <mergeCell ref="A103:I103"/>
    <mergeCell ref="H104:I104"/>
    <mergeCell ref="A122:I122"/>
    <mergeCell ref="A123:I123"/>
    <mergeCell ref="D125:G125"/>
    <mergeCell ref="H126:I126"/>
    <mergeCell ref="A104:E104"/>
    <mergeCell ref="F104:G104"/>
    <mergeCell ref="A117:I117"/>
    <mergeCell ref="A118:I118"/>
    <mergeCell ref="A119:I119"/>
    <mergeCell ref="A120:I120"/>
    <mergeCell ref="A121:I121"/>
    <mergeCell ref="B113:D113"/>
    <mergeCell ref="E113:I113"/>
    <mergeCell ref="A114:I114"/>
    <mergeCell ref="A115:I115"/>
    <mergeCell ref="A116:I116"/>
    <mergeCell ref="A110:I110"/>
    <mergeCell ref="A111:F111"/>
    <mergeCell ref="G111:I111"/>
    <mergeCell ref="A112:E112"/>
    <mergeCell ref="G112:I112"/>
    <mergeCell ref="A106:E106"/>
    <mergeCell ref="G106:I106"/>
    <mergeCell ref="A107:I107"/>
  </mergeCells>
  <pageMargins left="1.2598425196850394" right="0.39370078740157483" top="0.55118110236220474" bottom="0.15748031496062992" header="0.31496062992125984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5"/>
  <sheetViews>
    <sheetView zoomScale="120" zoomScaleNormal="120" workbookViewId="0">
      <selection activeCell="C54" sqref="C54"/>
    </sheetView>
  </sheetViews>
  <sheetFormatPr defaultRowHeight="15" x14ac:dyDescent="0.25"/>
  <cols>
    <col min="1" max="1" width="6" customWidth="1"/>
    <col min="2" max="2" width="64.28515625" customWidth="1"/>
    <col min="3" max="3" width="74.140625" customWidth="1"/>
    <col min="4" max="4" width="75.28515625" customWidth="1"/>
  </cols>
  <sheetData>
    <row r="1" spans="2:4" x14ac:dyDescent="0.25">
      <c r="B1" s="243" t="s">
        <v>718</v>
      </c>
      <c r="C1" s="243" t="s">
        <v>724</v>
      </c>
      <c r="D1" s="243" t="s">
        <v>728</v>
      </c>
    </row>
    <row r="2" spans="2:4" x14ac:dyDescent="0.25">
      <c r="B2" s="243" t="s">
        <v>732</v>
      </c>
      <c r="C2" s="243" t="s">
        <v>732</v>
      </c>
      <c r="D2" s="243" t="s">
        <v>732</v>
      </c>
    </row>
    <row r="3" spans="2:4" x14ac:dyDescent="0.25">
      <c r="B3" s="243" t="s">
        <v>731</v>
      </c>
      <c r="C3" s="243" t="s">
        <v>731</v>
      </c>
      <c r="D3" s="243" t="s">
        <v>731</v>
      </c>
    </row>
    <row r="4" spans="2:4" x14ac:dyDescent="0.25">
      <c r="B4" t="s">
        <v>704</v>
      </c>
      <c r="C4" t="s">
        <v>704</v>
      </c>
      <c r="D4" t="s">
        <v>704</v>
      </c>
    </row>
    <row r="5" spans="2:4" x14ac:dyDescent="0.25">
      <c r="B5" t="s">
        <v>705</v>
      </c>
      <c r="C5" t="s">
        <v>719</v>
      </c>
      <c r="D5" t="s">
        <v>725</v>
      </c>
    </row>
    <row r="6" spans="2:4" x14ac:dyDescent="0.25">
      <c r="B6" t="s">
        <v>706</v>
      </c>
      <c r="C6" t="s">
        <v>720</v>
      </c>
      <c r="D6" t="s">
        <v>726</v>
      </c>
    </row>
    <row r="7" spans="2:4" x14ac:dyDescent="0.25">
      <c r="B7" t="s">
        <v>707</v>
      </c>
      <c r="C7" t="s">
        <v>721</v>
      </c>
      <c r="D7" t="s">
        <v>721</v>
      </c>
    </row>
    <row r="8" spans="2:4" x14ac:dyDescent="0.25">
      <c r="B8" t="s">
        <v>708</v>
      </c>
      <c r="C8" t="s">
        <v>722</v>
      </c>
      <c r="D8" t="s">
        <v>722</v>
      </c>
    </row>
    <row r="9" spans="2:4" x14ac:dyDescent="0.25">
      <c r="B9" t="s">
        <v>709</v>
      </c>
      <c r="C9" t="s">
        <v>723</v>
      </c>
      <c r="D9" t="s">
        <v>727</v>
      </c>
    </row>
    <row r="10" spans="2:4" x14ac:dyDescent="0.25">
      <c r="B10" t="s">
        <v>710</v>
      </c>
      <c r="C10" t="s">
        <v>710</v>
      </c>
      <c r="D10" t="s">
        <v>710</v>
      </c>
    </row>
    <row r="11" spans="2:4" x14ac:dyDescent="0.25">
      <c r="B11" t="s">
        <v>711</v>
      </c>
      <c r="C11" t="s">
        <v>711</v>
      </c>
      <c r="D11" t="s">
        <v>711</v>
      </c>
    </row>
    <row r="12" spans="2:4" x14ac:dyDescent="0.25">
      <c r="B12" t="s">
        <v>790</v>
      </c>
      <c r="C12" t="s">
        <v>790</v>
      </c>
      <c r="D12" t="s">
        <v>790</v>
      </c>
    </row>
    <row r="13" spans="2:4" x14ac:dyDescent="0.25">
      <c r="B13" t="s">
        <v>712</v>
      </c>
      <c r="C13" t="s">
        <v>712</v>
      </c>
      <c r="D13" t="s">
        <v>712</v>
      </c>
    </row>
    <row r="14" spans="2:4" x14ac:dyDescent="0.25">
      <c r="B14" t="s">
        <v>791</v>
      </c>
      <c r="C14" t="s">
        <v>791</v>
      </c>
      <c r="D14" t="s">
        <v>791</v>
      </c>
    </row>
    <row r="15" spans="2:4" x14ac:dyDescent="0.25">
      <c r="B15" t="s">
        <v>713</v>
      </c>
      <c r="C15" t="s">
        <v>713</v>
      </c>
      <c r="D15" t="s">
        <v>713</v>
      </c>
    </row>
    <row r="16" spans="2:4" x14ac:dyDescent="0.25">
      <c r="B16" t="s">
        <v>714</v>
      </c>
      <c r="C16" t="s">
        <v>714</v>
      </c>
      <c r="D16" t="s">
        <v>714</v>
      </c>
    </row>
    <row r="17" spans="1:4" x14ac:dyDescent="0.25">
      <c r="B17" t="s">
        <v>715</v>
      </c>
      <c r="C17" t="s">
        <v>715</v>
      </c>
      <c r="D17" t="s">
        <v>715</v>
      </c>
    </row>
    <row r="18" spans="1:4" x14ac:dyDescent="0.25">
      <c r="B18" t="s">
        <v>716</v>
      </c>
      <c r="C18" t="s">
        <v>716</v>
      </c>
      <c r="D18" t="s">
        <v>716</v>
      </c>
    </row>
    <row r="19" spans="1:4" ht="15.75" thickBot="1" x14ac:dyDescent="0.3">
      <c r="B19" t="s">
        <v>717</v>
      </c>
      <c r="C19" t="s">
        <v>717</v>
      </c>
      <c r="D19" t="s">
        <v>717</v>
      </c>
    </row>
    <row r="20" spans="1:4" ht="32.25" thickBot="1" x14ac:dyDescent="0.55000000000000004">
      <c r="A20" s="849" t="s">
        <v>767</v>
      </c>
      <c r="B20" s="850"/>
      <c r="C20" s="850"/>
      <c r="D20" s="851"/>
    </row>
    <row r="21" spans="1:4" ht="27" thickBot="1" x14ac:dyDescent="0.45">
      <c r="A21" s="259"/>
      <c r="B21" s="260" t="s">
        <v>737</v>
      </c>
      <c r="C21" s="260" t="s">
        <v>738</v>
      </c>
      <c r="D21" s="261" t="s">
        <v>739</v>
      </c>
    </row>
    <row r="22" spans="1:4" x14ac:dyDescent="0.25">
      <c r="A22" s="256">
        <v>1</v>
      </c>
      <c r="B22" s="257" t="s">
        <v>730</v>
      </c>
      <c r="C22" s="257" t="s">
        <v>734</v>
      </c>
      <c r="D22" s="258" t="s">
        <v>736</v>
      </c>
    </row>
    <row r="23" spans="1:4" x14ac:dyDescent="0.25">
      <c r="A23" s="244">
        <v>2</v>
      </c>
      <c r="B23" s="249" t="s">
        <v>729</v>
      </c>
      <c r="C23" s="249" t="s">
        <v>741</v>
      </c>
      <c r="D23" s="250" t="s">
        <v>740</v>
      </c>
    </row>
    <row r="24" spans="1:4" ht="30" x14ac:dyDescent="0.25">
      <c r="A24" s="244">
        <v>3</v>
      </c>
      <c r="B24" s="249" t="s">
        <v>733</v>
      </c>
      <c r="C24" s="249" t="s">
        <v>742</v>
      </c>
      <c r="D24" s="250" t="s">
        <v>744</v>
      </c>
    </row>
    <row r="25" spans="1:4" x14ac:dyDescent="0.25">
      <c r="A25" s="244">
        <v>4</v>
      </c>
      <c r="B25" s="249" t="s">
        <v>735</v>
      </c>
      <c r="C25" s="249" t="s">
        <v>743</v>
      </c>
      <c r="D25" s="250" t="s">
        <v>748</v>
      </c>
    </row>
    <row r="26" spans="1:4" ht="30" x14ac:dyDescent="0.25">
      <c r="A26" s="244">
        <v>5</v>
      </c>
      <c r="B26" s="249" t="s">
        <v>745</v>
      </c>
      <c r="C26" s="249" t="s">
        <v>755</v>
      </c>
      <c r="D26" s="250" t="s">
        <v>747</v>
      </c>
    </row>
    <row r="27" spans="1:4" ht="45" x14ac:dyDescent="0.25">
      <c r="A27" s="244">
        <v>6</v>
      </c>
      <c r="B27" s="249" t="s">
        <v>746</v>
      </c>
      <c r="C27" s="249" t="s">
        <v>759</v>
      </c>
      <c r="D27" s="250" t="s">
        <v>756</v>
      </c>
    </row>
    <row r="28" spans="1:4" ht="30" x14ac:dyDescent="0.25">
      <c r="A28" s="244">
        <v>7</v>
      </c>
      <c r="B28" s="249" t="s">
        <v>773</v>
      </c>
      <c r="C28" s="249" t="s">
        <v>760</v>
      </c>
      <c r="D28" s="250" t="s">
        <v>757</v>
      </c>
    </row>
    <row r="29" spans="1:4" x14ac:dyDescent="0.25">
      <c r="A29" s="244">
        <v>8</v>
      </c>
      <c r="B29" s="249"/>
      <c r="C29" s="249" t="s">
        <v>761</v>
      </c>
      <c r="D29" s="250" t="s">
        <v>758</v>
      </c>
    </row>
    <row r="30" spans="1:4" ht="30" x14ac:dyDescent="0.25">
      <c r="A30" s="244">
        <v>9</v>
      </c>
      <c r="B30" s="249"/>
      <c r="C30" s="249" t="s">
        <v>762</v>
      </c>
      <c r="D30" s="250" t="s">
        <v>766</v>
      </c>
    </row>
    <row r="31" spans="1:4" x14ac:dyDescent="0.25">
      <c r="A31" s="244">
        <v>10</v>
      </c>
      <c r="B31" s="249"/>
      <c r="C31" s="249" t="s">
        <v>763</v>
      </c>
      <c r="D31" s="262" t="s">
        <v>749</v>
      </c>
    </row>
    <row r="32" spans="1:4" x14ac:dyDescent="0.25">
      <c r="A32" s="244">
        <v>11</v>
      </c>
      <c r="B32" s="249"/>
      <c r="C32" s="249" t="s">
        <v>764</v>
      </c>
      <c r="D32" s="262" t="s">
        <v>750</v>
      </c>
    </row>
    <row r="33" spans="1:4" x14ac:dyDescent="0.25">
      <c r="A33" s="244">
        <v>12</v>
      </c>
      <c r="B33" s="249"/>
      <c r="C33" s="251" t="s">
        <v>765</v>
      </c>
      <c r="D33" s="262" t="s">
        <v>751</v>
      </c>
    </row>
    <row r="34" spans="1:4" x14ac:dyDescent="0.25">
      <c r="A34" s="244">
        <v>13</v>
      </c>
      <c r="B34" s="249"/>
      <c r="C34" s="249"/>
      <c r="D34" s="254" t="s">
        <v>753</v>
      </c>
    </row>
    <row r="35" spans="1:4" x14ac:dyDescent="0.25">
      <c r="A35" s="244">
        <v>14</v>
      </c>
      <c r="B35" s="249"/>
      <c r="C35" s="249"/>
      <c r="D35" s="250" t="s">
        <v>754</v>
      </c>
    </row>
    <row r="36" spans="1:4" x14ac:dyDescent="0.25">
      <c r="A36" s="244">
        <v>15</v>
      </c>
      <c r="B36" s="266"/>
      <c r="C36" s="266"/>
      <c r="D36" s="267"/>
    </row>
    <row r="37" spans="1:4" x14ac:dyDescent="0.25">
      <c r="A37" s="244">
        <v>16</v>
      </c>
      <c r="B37" s="268" t="s">
        <v>773</v>
      </c>
      <c r="C37" s="268" t="s">
        <v>773</v>
      </c>
      <c r="D37" s="250"/>
    </row>
    <row r="38" spans="1:4" x14ac:dyDescent="0.25">
      <c r="A38" s="244">
        <v>17</v>
      </c>
      <c r="B38" s="257" t="s">
        <v>777</v>
      </c>
      <c r="C38" s="249" t="s">
        <v>780</v>
      </c>
      <c r="D38" s="250"/>
    </row>
    <row r="39" spans="1:4" x14ac:dyDescent="0.25">
      <c r="A39" s="244">
        <v>18</v>
      </c>
      <c r="B39" s="249" t="s">
        <v>778</v>
      </c>
      <c r="C39" s="249" t="s">
        <v>781</v>
      </c>
      <c r="D39" s="250"/>
    </row>
    <row r="40" spans="1:4" ht="30" x14ac:dyDescent="0.25">
      <c r="A40" s="244">
        <v>19</v>
      </c>
      <c r="B40" s="249" t="s">
        <v>733</v>
      </c>
      <c r="C40" s="249"/>
      <c r="D40" s="250"/>
    </row>
    <row r="41" spans="1:4" x14ac:dyDescent="0.25">
      <c r="A41" s="244">
        <v>20</v>
      </c>
      <c r="B41" s="249" t="s">
        <v>779</v>
      </c>
      <c r="C41" s="249"/>
      <c r="D41" s="250"/>
    </row>
    <row r="42" spans="1:4" x14ac:dyDescent="0.25">
      <c r="A42" s="244">
        <v>21</v>
      </c>
      <c r="B42" s="249"/>
      <c r="C42" s="249"/>
      <c r="D42" s="250"/>
    </row>
    <row r="43" spans="1:4" x14ac:dyDescent="0.25">
      <c r="A43" s="244">
        <v>22</v>
      </c>
      <c r="B43" s="249"/>
      <c r="C43" s="249"/>
      <c r="D43" s="250"/>
    </row>
    <row r="44" spans="1:4" x14ac:dyDescent="0.25">
      <c r="A44" s="244">
        <v>23</v>
      </c>
      <c r="B44" s="249"/>
      <c r="C44" s="249"/>
      <c r="D44" s="250"/>
    </row>
    <row r="45" spans="1:4" ht="15.75" thickBot="1" x14ac:dyDescent="0.3">
      <c r="A45" s="244">
        <v>24</v>
      </c>
      <c r="B45" s="249"/>
      <c r="C45" s="249"/>
      <c r="D45" s="255"/>
    </row>
    <row r="46" spans="1:4" x14ac:dyDescent="0.25">
      <c r="A46" s="244">
        <v>25</v>
      </c>
      <c r="B46" s="249"/>
      <c r="C46" s="249"/>
    </row>
    <row r="47" spans="1:4" x14ac:dyDescent="0.25">
      <c r="A47" s="244">
        <v>26</v>
      </c>
      <c r="B47" s="249"/>
      <c r="C47" s="249"/>
    </row>
    <row r="48" spans="1:4" ht="15.75" thickBot="1" x14ac:dyDescent="0.3">
      <c r="A48" s="245">
        <v>27</v>
      </c>
      <c r="B48" s="252"/>
      <c r="C48" s="252"/>
    </row>
    <row r="49" spans="1:3" ht="15.75" thickBot="1" x14ac:dyDescent="0.3">
      <c r="B49" s="253" t="s">
        <v>752</v>
      </c>
      <c r="C49" s="247" t="s">
        <v>289</v>
      </c>
    </row>
    <row r="50" spans="1:3" x14ac:dyDescent="0.25">
      <c r="A50" s="246">
        <v>1</v>
      </c>
      <c r="B50" s="23" t="s">
        <v>776</v>
      </c>
    </row>
    <row r="51" spans="1:3" ht="30.75" thickBot="1" x14ac:dyDescent="0.3">
      <c r="A51" s="246">
        <v>2</v>
      </c>
      <c r="B51" s="248" t="s">
        <v>775</v>
      </c>
    </row>
    <row r="52" spans="1:3" x14ac:dyDescent="0.25">
      <c r="A52" s="848">
        <v>3</v>
      </c>
      <c r="B52" s="263" t="s">
        <v>768</v>
      </c>
      <c r="C52" t="s">
        <v>774</v>
      </c>
    </row>
    <row r="53" spans="1:3" x14ac:dyDescent="0.25">
      <c r="A53" s="848"/>
      <c r="B53" s="264" t="s">
        <v>769</v>
      </c>
      <c r="C53" t="s">
        <v>772</v>
      </c>
    </row>
    <row r="54" spans="1:3" x14ac:dyDescent="0.25">
      <c r="A54" s="848"/>
      <c r="B54" s="264" t="s">
        <v>770</v>
      </c>
      <c r="C54" t="s">
        <v>773</v>
      </c>
    </row>
    <row r="55" spans="1:3" ht="15.75" thickBot="1" x14ac:dyDescent="0.3">
      <c r="A55" s="848"/>
      <c r="B55" s="265" t="s">
        <v>771</v>
      </c>
    </row>
  </sheetData>
  <mergeCells count="2">
    <mergeCell ref="A52:A55"/>
    <mergeCell ref="A20:D20"/>
  </mergeCells>
  <hyperlinks>
    <hyperlink ref="C33" r:id="rId1" xr:uid="{FD7AD492-DCF3-46C9-B036-12D7BAFFC43A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13</vt:i4>
      </vt:variant>
    </vt:vector>
  </HeadingPairs>
  <TitlesOfParts>
    <vt:vector size="31" baseType="lpstr">
      <vt:lpstr>Дог.</vt:lpstr>
      <vt:lpstr>Пр №1</vt:lpstr>
      <vt:lpstr>Акт прием</vt:lpstr>
      <vt:lpstr>Акт расч</vt:lpstr>
      <vt:lpstr>Обяз</vt:lpstr>
      <vt:lpstr>Пасп Доп Данные</vt:lpstr>
      <vt:lpstr>Треб1</vt:lpstr>
      <vt:lpstr>Треб2</vt:lpstr>
      <vt:lpstr>Акт возв</vt:lpstr>
      <vt:lpstr>Акт слом</vt:lpstr>
      <vt:lpstr>Счет </vt:lpstr>
      <vt:lpstr>Фактура</vt:lpstr>
      <vt:lpstr>ПКО</vt:lpstr>
      <vt:lpstr>РКО</vt:lpstr>
      <vt:lpstr>Обоснование</vt:lpstr>
      <vt:lpstr>Письма</vt:lpstr>
      <vt:lpstr>В милицию</vt:lpstr>
      <vt:lpstr>Фразы для Ватсапа</vt:lpstr>
      <vt:lpstr>'Акт прием'!Область_печати</vt:lpstr>
      <vt:lpstr>'Акт расч'!Область_печати</vt:lpstr>
      <vt:lpstr>Дог.!Область_печати</vt:lpstr>
      <vt:lpstr>Обоснование!Область_печати</vt:lpstr>
      <vt:lpstr>Обяз!Область_печати</vt:lpstr>
      <vt:lpstr>'Пасп Доп Данные'!Область_печати</vt:lpstr>
      <vt:lpstr>Письма!Область_печати</vt:lpstr>
      <vt:lpstr>ПКО!Область_печати</vt:lpstr>
      <vt:lpstr>'Пр №1'!Область_печати</vt:lpstr>
      <vt:lpstr>РКО!Область_печати</vt:lpstr>
      <vt:lpstr>'Счет '!Область_печати</vt:lpstr>
      <vt:lpstr>Треб1!Область_печати</vt:lpstr>
      <vt:lpstr>Фактура!Область_печати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2026-01-09T14:55:06Z</dcterms:modified>
</cp:coreProperties>
</file>